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1_6DE4BACE9281BB5476ED51F7F2C5FA03A5DCDFE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" sheetId="1" r:id="rId1"/>
  </sheets>
  <calcPr calcId="191029"/>
</workbook>
</file>

<file path=xl/calcChain.xml><?xml version="1.0" encoding="utf-8"?>
<calcChain xmlns="http://schemas.openxmlformats.org/spreadsheetml/2006/main">
  <c r="F6" i="1" l="1"/>
  <c r="G6" i="1" s="1"/>
  <c r="E4" i="1"/>
  <c r="F7" i="1" l="1"/>
  <c r="G7" i="1" s="1"/>
  <c r="F9" i="1" s="1"/>
  <c r="G9" i="1" s="1"/>
  <c r="F8" i="1"/>
  <c r="G8" i="1" s="1"/>
  <c r="F10" i="1" s="1"/>
  <c r="G10" i="1" s="1"/>
  <c r="F11" i="1"/>
  <c r="G11" i="1" s="1"/>
  <c r="F13" i="1" s="1"/>
  <c r="G13" i="1" s="1"/>
  <c r="F12" i="1" l="1"/>
  <c r="G12" i="1" s="1"/>
  <c r="B4" i="1" l="1"/>
  <c r="I14" i="1" s="1"/>
  <c r="H14" i="1" s="1"/>
  <c r="F14" i="1"/>
  <c r="G14" i="1" s="1"/>
  <c r="I13" i="1" l="1"/>
  <c r="H13" i="1" s="1"/>
  <c r="J13" i="1" s="1"/>
  <c r="K13" i="1" s="1"/>
  <c r="I12" i="1"/>
  <c r="H12" i="1" s="1"/>
  <c r="J14" i="1"/>
  <c r="K14" i="1" s="1"/>
  <c r="I11" i="1" l="1"/>
  <c r="H11" i="1" s="1"/>
  <c r="J11" i="1" s="1"/>
  <c r="K11" i="1" s="1"/>
  <c r="J12" i="1"/>
  <c r="K12" i="1" s="1"/>
  <c r="I10" i="1"/>
  <c r="H10" i="1" s="1"/>
  <c r="J10" i="1" l="1"/>
  <c r="K10" i="1" s="1"/>
  <c r="I9" i="1"/>
  <c r="H9" i="1" s="1"/>
  <c r="I8" i="1"/>
  <c r="H8" i="1" s="1"/>
  <c r="J8" i="1" s="1"/>
  <c r="K8" i="1" s="1"/>
  <c r="J9" i="1" l="1"/>
  <c r="K9" i="1" s="1"/>
  <c r="I7" i="1"/>
  <c r="H7" i="1" s="1"/>
  <c r="J7" i="1" l="1"/>
  <c r="K7" i="1" s="1"/>
  <c r="I6" i="1"/>
  <c r="H6" i="1" s="1"/>
  <c r="J6" i="1" s="1"/>
  <c r="K6" i="1" s="1"/>
</calcChain>
</file>

<file path=xl/sharedStrings.xml><?xml version="1.0" encoding="utf-8"?>
<sst xmlns="http://schemas.openxmlformats.org/spreadsheetml/2006/main" count="47" uniqueCount="41">
  <si>
    <t>U5 Proyectos — Gantt del caso: Centro de Servicios y Gestión de Incidentes</t>
  </si>
  <si>
    <t>Cronograma didáctico basado en el ejemplo oficial de la Unidad 5. Unidad de planificación: horas.</t>
  </si>
  <si>
    <t>Duración</t>
  </si>
  <si>
    <t>BAC</t>
  </si>
  <si>
    <t>Camino crítico</t>
  </si>
  <si>
    <t>1 → 2 → 4 → 5 → 7 → 9</t>
  </si>
  <si>
    <t>ID</t>
  </si>
  <si>
    <t>Actividad</t>
  </si>
  <si>
    <t>Predecesoras</t>
  </si>
  <si>
    <t>Duración (h)</t>
  </si>
  <si>
    <t>Presupuesto ($)</t>
  </si>
  <si>
    <t>ES</t>
  </si>
  <si>
    <t>EF</t>
  </si>
  <si>
    <t>LS</t>
  </si>
  <si>
    <t>LF</t>
  </si>
  <si>
    <t>Holgura (h)</t>
  </si>
  <si>
    <t>Crítica</t>
  </si>
  <si>
    <t>Análisis de requisitos en base a la infraestructura de servicios</t>
  </si>
  <si>
    <t>1</t>
  </si>
  <si>
    <t>Relevamiento de propuestas y soluciones disponibles en el mercado</t>
  </si>
  <si>
    <t>2</t>
  </si>
  <si>
    <t>Desarrollo de los RFP para selección de proveedores</t>
  </si>
  <si>
    <t>3</t>
  </si>
  <si>
    <t>Selección de proveedor en función de la matriz de comparación</t>
  </si>
  <si>
    <t>4</t>
  </si>
  <si>
    <t>Implementación del Centro de Servicios o mejora de procesos</t>
  </si>
  <si>
    <t>3, 4</t>
  </si>
  <si>
    <t>5</t>
  </si>
  <si>
    <t>Definición de las taxonomías a utilizar para la Gestión de Incidentes</t>
  </si>
  <si>
    <t>6</t>
  </si>
  <si>
    <t>Relevamiento de infraestructura y definición de herramientas</t>
  </si>
  <si>
    <t>5, 6</t>
  </si>
  <si>
    <t>7</t>
  </si>
  <si>
    <t>Definición de políticas de seguridad y auditorías de los datos</t>
  </si>
  <si>
    <t>8</t>
  </si>
  <si>
    <t>Implementación y alineación de las herramientas para la Gestión de Incidentes</t>
  </si>
  <si>
    <t>7, 8</t>
  </si>
  <si>
    <t>9</t>
  </si>
  <si>
    <t>Lectura del Gantt</t>
  </si>
  <si>
    <t>Rojo = actividad crítica (holgura 0). Azul = actividad no crítica. La duración total es 39 h; no se obtiene sumando todas las duraciones porque varias tareas se ejecutan en paralelo.</t>
  </si>
  <si>
    <t>Fuente de datos de actividades, precedencias, duraciones y presupuestos: material de cátedra ASI — Unidad 5, ejemplo “Implementación Centro de Servicios y Herramientas para Gestión de Incidentes”. Los cálculos ES/EF/LS/LF, holguras, camino crítico y Gantt se presentan como resolución didáctica.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</si>
</sst>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1">
    <font>
      <sz val="11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b/>
      <sz val="10"/>
      <color rgb="FF18324A"/>
      <name val="Carlito"/>
    </font>
    <font>
      <b/>
      <sz val="10"/>
      <color rgb="FFFFFFFF"/>
      <name val="Carlito"/>
    </font>
    <font>
      <b/>
      <sz val="9"/>
      <color rgb="FFFFFFFF"/>
      <name val="Carlito"/>
    </font>
    <font>
      <sz val="10"/>
      <color rgb="FF1F2937"/>
      <name val="Carlito"/>
    </font>
    <font>
      <b/>
      <sz val="10"/>
      <color rgb="FFA33D3D"/>
      <name val="Carlito"/>
    </font>
    <font>
      <b/>
      <sz val="10"/>
      <color rgb="FF2F6B8F"/>
      <name val="Carlito"/>
    </font>
    <font>
      <b/>
      <sz val="11"/>
      <color rgb="FFFFFFFF"/>
      <name val="Carlito"/>
    </font>
    <font>
      <i/>
      <sz val="9"/>
      <color rgb="FF667085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8324A"/>
      </patternFill>
    </fill>
    <fill>
      <patternFill patternType="solid">
        <fgColor rgb="FFEAF2F7"/>
      </patternFill>
    </fill>
    <fill>
      <patternFill patternType="solid">
        <fgColor rgb="FFEAF1F7"/>
      </patternFill>
    </fill>
    <fill>
      <patternFill patternType="solid">
        <fgColor rgb="FF2F6B8F"/>
      </patternFill>
    </fill>
    <fill>
      <patternFill patternType="solid">
        <fgColor rgb="FFC94C4C"/>
      </patternFill>
    </fill>
    <fill>
      <patternFill patternType="solid">
        <fgColor rgb="FF6BA7C9"/>
      </patternFill>
    </fill>
    <fill>
      <patternFill patternType="solid">
        <fgColor rgb="FFFDECEC"/>
      </patternFill>
    </fill>
    <fill>
      <patternFill patternType="solid">
        <fgColor rgb="FFEEF5FA"/>
      </patternFill>
    </fill>
    <fill>
      <patternFill patternType="solid">
        <fgColor rgb="FFF4F7FA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4" borderId="0" xfId="0" applyFont="1" applyFill="1" applyAlignment="1">
      <alignment vertical="center"/>
    </xf>
    <xf numFmtId="1" fontId="3" fillId="4" borderId="0" xfId="0" applyNumberFormat="1" applyFont="1" applyFill="1" applyAlignment="1">
      <alignment vertical="center"/>
    </xf>
    <xf numFmtId="164" fontId="3" fillId="4" borderId="0" xfId="0" applyNumberFormat="1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5" fillId="6" borderId="0" xfId="0" applyFont="1" applyFill="1"/>
    <xf numFmtId="0" fontId="5" fillId="6" borderId="4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0" xfId="0" applyFont="1" applyFill="1"/>
    <xf numFmtId="0" fontId="5" fillId="7" borderId="0" xfId="0" applyFont="1" applyFill="1" applyAlignment="1">
      <alignment horizontal="center"/>
    </xf>
    <xf numFmtId="0" fontId="5" fillId="6" borderId="7" xfId="0" applyFont="1" applyFill="1" applyBorder="1"/>
    <xf numFmtId="0" fontId="5" fillId="6" borderId="8" xfId="0" applyFont="1" applyFill="1" applyBorder="1"/>
    <xf numFmtId="0" fontId="5" fillId="6" borderId="7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9" fillId="2" borderId="0" xfId="0" applyFont="1" applyFill="1"/>
    <xf numFmtId="0" fontId="6" fillId="10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8"/>
  <sheetViews>
    <sheetView tabSelected="1" zoomScaleNormal="100" workbookViewId="0">
      <selection activeCell="A18" sqref="A18:AY18"/>
    </sheetView>
  </sheetViews>
  <sheetFormatPr baseColWidth="10" defaultColWidth="9" defaultRowHeight="14.25"/>
  <cols>
    <col min="1" max="1" width="8" customWidth="1"/>
    <col min="2" max="2" width="46" customWidth="1"/>
    <col min="3" max="3" width="12" customWidth="1"/>
    <col min="4" max="4" width="11" customWidth="1"/>
    <col min="5" max="5" width="14" customWidth="1"/>
    <col min="6" max="9" width="7" customWidth="1"/>
    <col min="10" max="10" width="10" customWidth="1"/>
    <col min="11" max="11" width="8" customWidth="1"/>
    <col min="12" max="12" width="2" customWidth="1"/>
    <col min="13" max="51" width="3" customWidth="1"/>
  </cols>
  <sheetData>
    <row r="1" spans="1:51" ht="32.1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</row>
    <row r="2" spans="1:51" ht="24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</row>
    <row r="4" spans="1:51" ht="24" customHeight="1">
      <c r="A4" s="1" t="s">
        <v>2</v>
      </c>
      <c r="B4" s="2">
        <f>MAX(G6:G14)</f>
        <v>39</v>
      </c>
      <c r="D4" s="1" t="s">
        <v>3</v>
      </c>
      <c r="E4" s="3">
        <f>SUM(E6:E14)</f>
        <v>3700</v>
      </c>
      <c r="G4" s="38" t="s">
        <v>4</v>
      </c>
      <c r="H4" s="38" t="s">
        <v>5</v>
      </c>
      <c r="I4" s="38" t="s">
        <v>5</v>
      </c>
      <c r="J4" s="38"/>
      <c r="K4" s="38"/>
    </row>
    <row r="5" spans="1:51" ht="32.1" customHeight="1">
      <c r="A5" s="7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G5" s="8" t="s">
        <v>12</v>
      </c>
      <c r="H5" s="8" t="s">
        <v>13</v>
      </c>
      <c r="I5" s="8" t="s">
        <v>14</v>
      </c>
      <c r="J5" s="8" t="s">
        <v>15</v>
      </c>
      <c r="K5" s="9" t="s">
        <v>16</v>
      </c>
      <c r="M5" s="15">
        <v>1</v>
      </c>
      <c r="N5" s="16">
        <v>2</v>
      </c>
      <c r="O5" s="16">
        <v>3</v>
      </c>
      <c r="P5" s="16">
        <v>4</v>
      </c>
      <c r="Q5" s="16">
        <v>5</v>
      </c>
      <c r="R5" s="16">
        <v>6</v>
      </c>
      <c r="S5" s="16">
        <v>7</v>
      </c>
      <c r="T5" s="16">
        <v>8</v>
      </c>
      <c r="U5" s="16">
        <v>9</v>
      </c>
      <c r="V5" s="16">
        <v>10</v>
      </c>
      <c r="W5" s="16">
        <v>11</v>
      </c>
      <c r="X5" s="16">
        <v>12</v>
      </c>
      <c r="Y5" s="16">
        <v>13</v>
      </c>
      <c r="Z5" s="16">
        <v>14</v>
      </c>
      <c r="AA5" s="16">
        <v>15</v>
      </c>
      <c r="AB5" s="16">
        <v>16</v>
      </c>
      <c r="AC5" s="16">
        <v>17</v>
      </c>
      <c r="AD5" s="16">
        <v>18</v>
      </c>
      <c r="AE5" s="16">
        <v>19</v>
      </c>
      <c r="AF5" s="16">
        <v>20</v>
      </c>
      <c r="AG5" s="16">
        <v>21</v>
      </c>
      <c r="AH5" s="16">
        <v>22</v>
      </c>
      <c r="AI5" s="16">
        <v>23</v>
      </c>
      <c r="AJ5" s="16">
        <v>24</v>
      </c>
      <c r="AK5" s="16">
        <v>25</v>
      </c>
      <c r="AL5" s="16">
        <v>26</v>
      </c>
      <c r="AM5" s="16">
        <v>27</v>
      </c>
      <c r="AN5" s="16">
        <v>28</v>
      </c>
      <c r="AO5" s="16">
        <v>29</v>
      </c>
      <c r="AP5" s="16">
        <v>30</v>
      </c>
      <c r="AQ5" s="16">
        <v>31</v>
      </c>
      <c r="AR5" s="16">
        <v>32</v>
      </c>
      <c r="AS5" s="16">
        <v>33</v>
      </c>
      <c r="AT5" s="16">
        <v>34</v>
      </c>
      <c r="AU5" s="16">
        <v>35</v>
      </c>
      <c r="AV5" s="16">
        <v>36</v>
      </c>
      <c r="AW5" s="16">
        <v>37</v>
      </c>
      <c r="AX5" s="16">
        <v>38</v>
      </c>
      <c r="AY5" s="17">
        <v>39</v>
      </c>
    </row>
    <row r="6" spans="1:51" ht="30" customHeight="1">
      <c r="A6" s="10">
        <v>1</v>
      </c>
      <c r="B6" s="4" t="s">
        <v>17</v>
      </c>
      <c r="C6" s="5"/>
      <c r="D6" s="5">
        <v>12</v>
      </c>
      <c r="E6" s="6">
        <v>600</v>
      </c>
      <c r="F6" s="5">
        <f>0</f>
        <v>0</v>
      </c>
      <c r="G6" s="5">
        <f t="shared" ref="G6:G14" si="0">F6+D6</f>
        <v>12</v>
      </c>
      <c r="H6" s="5">
        <f t="shared" ref="H6:H14" si="1">I6-D6</f>
        <v>0</v>
      </c>
      <c r="I6" s="5">
        <f>MIN(H7,H8,H11)</f>
        <v>12</v>
      </c>
      <c r="J6" s="5">
        <f t="shared" ref="J6:J14" si="2">H6-F6</f>
        <v>0</v>
      </c>
      <c r="K6" s="30" t="str">
        <f t="shared" ref="K6:K14" si="3">IF(J6=0,"Sí","No")</f>
        <v>Sí</v>
      </c>
      <c r="M6" s="23" t="s">
        <v>18</v>
      </c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AY6" s="19"/>
    </row>
    <row r="7" spans="1:51" ht="30" customHeight="1">
      <c r="A7" s="10">
        <v>2</v>
      </c>
      <c r="B7" s="4" t="s">
        <v>19</v>
      </c>
      <c r="C7" s="5" t="s">
        <v>18</v>
      </c>
      <c r="D7" s="5">
        <v>4</v>
      </c>
      <c r="E7" s="6">
        <v>200</v>
      </c>
      <c r="F7" s="5">
        <f>G6</f>
        <v>12</v>
      </c>
      <c r="G7" s="5">
        <f t="shared" si="0"/>
        <v>16</v>
      </c>
      <c r="H7" s="5">
        <f t="shared" si="1"/>
        <v>12</v>
      </c>
      <c r="I7" s="5">
        <f>H9</f>
        <v>16</v>
      </c>
      <c r="J7" s="5">
        <f t="shared" si="2"/>
        <v>0</v>
      </c>
      <c r="K7" s="30" t="str">
        <f t="shared" si="3"/>
        <v>Sí</v>
      </c>
      <c r="M7" s="18"/>
      <c r="Y7" s="24" t="s">
        <v>20</v>
      </c>
      <c r="Z7" s="22"/>
      <c r="AA7" s="22"/>
      <c r="AB7" s="22"/>
      <c r="AY7" s="19"/>
    </row>
    <row r="8" spans="1:51" ht="30" customHeight="1">
      <c r="A8" s="10">
        <v>3</v>
      </c>
      <c r="B8" s="4" t="s">
        <v>21</v>
      </c>
      <c r="C8" s="5" t="s">
        <v>18</v>
      </c>
      <c r="D8" s="5">
        <v>8</v>
      </c>
      <c r="E8" s="6">
        <v>400</v>
      </c>
      <c r="F8" s="5">
        <f>G6</f>
        <v>12</v>
      </c>
      <c r="G8" s="5">
        <f t="shared" si="0"/>
        <v>20</v>
      </c>
      <c r="H8" s="5">
        <f t="shared" si="1"/>
        <v>13</v>
      </c>
      <c r="I8" s="5">
        <f>H10</f>
        <v>21</v>
      </c>
      <c r="J8" s="5">
        <f t="shared" si="2"/>
        <v>1</v>
      </c>
      <c r="K8" s="32" t="str">
        <f t="shared" si="3"/>
        <v>No</v>
      </c>
      <c r="M8" s="18"/>
      <c r="Y8" s="26" t="s">
        <v>22</v>
      </c>
      <c r="Z8" s="25"/>
      <c r="AA8" s="25"/>
      <c r="AB8" s="25"/>
      <c r="AC8" s="25"/>
      <c r="AD8" s="25"/>
      <c r="AE8" s="25"/>
      <c r="AF8" s="25"/>
      <c r="AY8" s="19"/>
    </row>
    <row r="9" spans="1:51" ht="30" customHeight="1">
      <c r="A9" s="10">
        <v>4</v>
      </c>
      <c r="B9" s="4" t="s">
        <v>23</v>
      </c>
      <c r="C9" s="5" t="s">
        <v>20</v>
      </c>
      <c r="D9" s="5">
        <v>5</v>
      </c>
      <c r="E9" s="6">
        <v>300</v>
      </c>
      <c r="F9" s="5">
        <f>G7</f>
        <v>16</v>
      </c>
      <c r="G9" s="5">
        <f t="shared" si="0"/>
        <v>21</v>
      </c>
      <c r="H9" s="5">
        <f t="shared" si="1"/>
        <v>16</v>
      </c>
      <c r="I9" s="5">
        <f>H10</f>
        <v>21</v>
      </c>
      <c r="J9" s="5">
        <f t="shared" si="2"/>
        <v>0</v>
      </c>
      <c r="K9" s="30" t="str">
        <f t="shared" si="3"/>
        <v>Sí</v>
      </c>
      <c r="M9" s="18"/>
      <c r="AC9" s="24" t="s">
        <v>24</v>
      </c>
      <c r="AD9" s="22"/>
      <c r="AE9" s="22"/>
      <c r="AF9" s="22"/>
      <c r="AG9" s="22"/>
      <c r="AY9" s="19"/>
    </row>
    <row r="10" spans="1:51" ht="30" customHeight="1">
      <c r="A10" s="10">
        <v>5</v>
      </c>
      <c r="B10" s="4" t="s">
        <v>25</v>
      </c>
      <c r="C10" s="5" t="s">
        <v>26</v>
      </c>
      <c r="D10" s="5">
        <v>7</v>
      </c>
      <c r="E10" s="6">
        <v>600</v>
      </c>
      <c r="F10" s="5">
        <f>MAX(G8,G9)</f>
        <v>21</v>
      </c>
      <c r="G10" s="5">
        <f t="shared" si="0"/>
        <v>28</v>
      </c>
      <c r="H10" s="5">
        <f t="shared" si="1"/>
        <v>21</v>
      </c>
      <c r="I10" s="5">
        <f>H12</f>
        <v>28</v>
      </c>
      <c r="J10" s="5">
        <f t="shared" si="2"/>
        <v>0</v>
      </c>
      <c r="K10" s="30" t="str">
        <f t="shared" si="3"/>
        <v>Sí</v>
      </c>
      <c r="M10" s="18"/>
      <c r="AH10" s="24" t="s">
        <v>27</v>
      </c>
      <c r="AI10" s="22"/>
      <c r="AJ10" s="22"/>
      <c r="AK10" s="22"/>
      <c r="AL10" s="22"/>
      <c r="AM10" s="22"/>
      <c r="AN10" s="22"/>
      <c r="AY10" s="19"/>
    </row>
    <row r="11" spans="1:51" ht="30" customHeight="1">
      <c r="A11" s="10">
        <v>6</v>
      </c>
      <c r="B11" s="4" t="s">
        <v>28</v>
      </c>
      <c r="C11" s="5" t="s">
        <v>18</v>
      </c>
      <c r="D11" s="5">
        <v>8</v>
      </c>
      <c r="E11" s="6">
        <v>500</v>
      </c>
      <c r="F11" s="5">
        <f>G6</f>
        <v>12</v>
      </c>
      <c r="G11" s="5">
        <f t="shared" si="0"/>
        <v>20</v>
      </c>
      <c r="H11" s="5">
        <f t="shared" si="1"/>
        <v>18</v>
      </c>
      <c r="I11" s="5">
        <f>MIN(H12,H13)</f>
        <v>26</v>
      </c>
      <c r="J11" s="5">
        <f t="shared" si="2"/>
        <v>6</v>
      </c>
      <c r="K11" s="32" t="str">
        <f t="shared" si="3"/>
        <v>No</v>
      </c>
      <c r="M11" s="18"/>
      <c r="Y11" s="26" t="s">
        <v>29</v>
      </c>
      <c r="Z11" s="25"/>
      <c r="AA11" s="25"/>
      <c r="AB11" s="25"/>
      <c r="AC11" s="25"/>
      <c r="AD11" s="25"/>
      <c r="AE11" s="25"/>
      <c r="AF11" s="25"/>
      <c r="AY11" s="19"/>
    </row>
    <row r="12" spans="1:51" ht="30" customHeight="1">
      <c r="A12" s="10">
        <v>7</v>
      </c>
      <c r="B12" s="4" t="s">
        <v>30</v>
      </c>
      <c r="C12" s="5" t="s">
        <v>31</v>
      </c>
      <c r="D12" s="5">
        <v>5</v>
      </c>
      <c r="E12" s="6">
        <v>400</v>
      </c>
      <c r="F12" s="5">
        <f>MAX(G10,G11)</f>
        <v>28</v>
      </c>
      <c r="G12" s="5">
        <f t="shared" si="0"/>
        <v>33</v>
      </c>
      <c r="H12" s="5">
        <f t="shared" si="1"/>
        <v>28</v>
      </c>
      <c r="I12" s="5">
        <f>H14</f>
        <v>33</v>
      </c>
      <c r="J12" s="5">
        <f t="shared" si="2"/>
        <v>0</v>
      </c>
      <c r="K12" s="30" t="str">
        <f t="shared" si="3"/>
        <v>Sí</v>
      </c>
      <c r="M12" s="18"/>
      <c r="AO12" s="24" t="s">
        <v>32</v>
      </c>
      <c r="AP12" s="22"/>
      <c r="AQ12" s="22"/>
      <c r="AR12" s="22"/>
      <c r="AS12" s="22"/>
      <c r="AY12" s="19"/>
    </row>
    <row r="13" spans="1:51" ht="30" customHeight="1">
      <c r="A13" s="10">
        <v>8</v>
      </c>
      <c r="B13" s="4" t="s">
        <v>33</v>
      </c>
      <c r="C13" s="5" t="s">
        <v>29</v>
      </c>
      <c r="D13" s="5">
        <v>7</v>
      </c>
      <c r="E13" s="6">
        <v>400</v>
      </c>
      <c r="F13" s="5">
        <f>G11</f>
        <v>20</v>
      </c>
      <c r="G13" s="5">
        <f t="shared" si="0"/>
        <v>27</v>
      </c>
      <c r="H13" s="5">
        <f t="shared" si="1"/>
        <v>26</v>
      </c>
      <c r="I13" s="5">
        <f>H14</f>
        <v>33</v>
      </c>
      <c r="J13" s="5">
        <f t="shared" si="2"/>
        <v>6</v>
      </c>
      <c r="K13" s="32" t="str">
        <f t="shared" si="3"/>
        <v>No</v>
      </c>
      <c r="M13" s="18"/>
      <c r="AG13" s="26" t="s">
        <v>34</v>
      </c>
      <c r="AH13" s="25"/>
      <c r="AI13" s="25"/>
      <c r="AJ13" s="25"/>
      <c r="AK13" s="25"/>
      <c r="AL13" s="25"/>
      <c r="AM13" s="25"/>
      <c r="AY13" s="19"/>
    </row>
    <row r="14" spans="1:51" ht="30" customHeight="1">
      <c r="A14" s="11">
        <v>9</v>
      </c>
      <c r="B14" s="12" t="s">
        <v>35</v>
      </c>
      <c r="C14" s="13" t="s">
        <v>36</v>
      </c>
      <c r="D14" s="13">
        <v>6</v>
      </c>
      <c r="E14" s="14">
        <v>300</v>
      </c>
      <c r="F14" s="13">
        <f>MAX(G12,G13)</f>
        <v>33</v>
      </c>
      <c r="G14" s="13">
        <f t="shared" si="0"/>
        <v>39</v>
      </c>
      <c r="H14" s="13">
        <f t="shared" si="1"/>
        <v>33</v>
      </c>
      <c r="I14" s="13">
        <f>$B$4</f>
        <v>39</v>
      </c>
      <c r="J14" s="13">
        <f t="shared" si="2"/>
        <v>0</v>
      </c>
      <c r="K14" s="31" t="str">
        <f t="shared" si="3"/>
        <v>Sí</v>
      </c>
      <c r="M14" s="20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9" t="s">
        <v>37</v>
      </c>
      <c r="AU14" s="27"/>
      <c r="AV14" s="27"/>
      <c r="AW14" s="27"/>
      <c r="AX14" s="27"/>
      <c r="AY14" s="28"/>
    </row>
    <row r="16" spans="1:51" ht="24" customHeight="1">
      <c r="A16" s="35" t="s">
        <v>38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</row>
    <row r="17" spans="1:51" ht="32.1" customHeight="1">
      <c r="A17" s="36" t="s">
        <v>39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</row>
    <row r="18" spans="1:51" ht="42" customHeight="1">
      <c r="A18" s="37" t="s">
        <v>40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</row>
  </sheetData>
  <mergeCells count="7">
    <mergeCell ref="A1:AY1"/>
    <mergeCell ref="A2:AY2"/>
    <mergeCell ref="A16:AY16"/>
    <mergeCell ref="A17:AY17"/>
    <mergeCell ref="A18:AY18"/>
    <mergeCell ref="G4:H4"/>
    <mergeCell ref="I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Pucheta Juan Ignacio</cp:lastModifiedBy>
  <dcterms:modified xsi:type="dcterms:W3CDTF">2026-08-15T19:26:22Z</dcterms:modified>
</cp:coreProperties>
</file>