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nica EV" sheetId="1" r:id="rId5"/>
  </sheets>
  <definedNames/>
  <calcPr/>
</workbook>
</file>

<file path=xl/sharedStrings.xml><?xml version="1.0" encoding="utf-8"?>
<sst xmlns="http://schemas.openxmlformats.org/spreadsheetml/2006/main" count="84" uniqueCount="43">
  <si>
    <t>GANTT</t>
  </si>
  <si>
    <t>A</t>
  </si>
  <si>
    <t>B</t>
  </si>
  <si>
    <t>C</t>
  </si>
  <si>
    <t>D</t>
  </si>
  <si>
    <t>E</t>
  </si>
  <si>
    <t>F</t>
  </si>
  <si>
    <t xml:space="preserve">G </t>
  </si>
  <si>
    <t>H</t>
  </si>
  <si>
    <t>I</t>
  </si>
  <si>
    <t>J</t>
  </si>
  <si>
    <t>K</t>
  </si>
  <si>
    <t>L</t>
  </si>
  <si>
    <t>M</t>
  </si>
  <si>
    <t>N</t>
  </si>
  <si>
    <t>O</t>
  </si>
  <si>
    <t>Al fin del dia 20</t>
  </si>
  <si>
    <t>Tarea</t>
  </si>
  <si>
    <t>Presup</t>
  </si>
  <si>
    <t>Segun 
Planificado</t>
  </si>
  <si>
    <t>$ plan</t>
  </si>
  <si>
    <t>Status 
Real</t>
  </si>
  <si>
    <t>$</t>
  </si>
  <si>
    <t>Finalizada</t>
  </si>
  <si>
    <t>Costo Real (AC)</t>
  </si>
  <si>
    <t>Plan</t>
  </si>
  <si>
    <t>Valor Planif (PV)</t>
  </si>
  <si>
    <t>Planificado y Presupuestado</t>
  </si>
  <si>
    <t>No iniciada</t>
  </si>
  <si>
    <t>Real</t>
  </si>
  <si>
    <t>Valor Ganado (EV)</t>
  </si>
  <si>
    <t>Status Real y Presupuestado</t>
  </si>
  <si>
    <t>CV=EV - AC (Dinero)</t>
  </si>
  <si>
    <t>Gasto eficiente / ineficiente?</t>
  </si>
  <si>
    <t>CV=Variac costos</t>
  </si>
  <si>
    <t>En curso</t>
  </si>
  <si>
    <t>SV=EV - PV (Tiempo)</t>
  </si>
  <si>
    <t>Ejecución adelantado / atrasado?</t>
  </si>
  <si>
    <t>SV= Variac tiempo</t>
  </si>
  <si>
    <t>G</t>
  </si>
  <si>
    <t>BAC</t>
  </si>
  <si>
    <t>PV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</si>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</sst>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i/>
      <color theme="1"/>
      <name val="Arial"/>
    </font>
    <font/>
    <font>
      <b/>
      <color theme="1"/>
      <name val="Arial"/>
    </font>
    <font>
      <i/>
      <color theme="1"/>
      <name val="Arial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10">
    <border/>
    <border>
      <right style="thin">
        <color rgb="FF000000"/>
      </right>
    </border>
    <border>
      <right style="thick">
        <color rgb="FF000000"/>
      </right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0" fillId="2" fontId="1" numFmtId="0" xfId="0" applyAlignment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4" fontId="1" numFmtId="0" xfId="0" applyAlignment="1" applyFill="1" applyFont="1">
      <alignment horizontal="center"/>
    </xf>
    <xf borderId="2" fillId="0" fontId="1" numFmtId="0" xfId="0" applyAlignment="1" applyBorder="1" applyFont="1">
      <alignment horizontal="center"/>
    </xf>
    <xf borderId="0" fillId="5" fontId="1" numFmtId="0" xfId="0" applyAlignment="1" applyFill="1" applyFont="1">
      <alignment horizontal="center"/>
    </xf>
    <xf borderId="2" fillId="4" fontId="1" numFmtId="0" xfId="0" applyAlignment="1" applyBorder="1" applyFont="1">
      <alignment horizontal="center"/>
    </xf>
    <xf borderId="2" fillId="5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3" fillId="4" fontId="1" numFmtId="0" xfId="0" applyAlignment="1" applyBorder="1" applyFont="1">
      <alignment horizontal="center"/>
    </xf>
    <xf borderId="5" fillId="4" fontId="1" numFmtId="0" xfId="0" applyAlignment="1" applyBorder="1" applyFont="1">
      <alignment horizontal="center"/>
    </xf>
    <xf borderId="0" fillId="6" fontId="1" numFmtId="0" xfId="0" applyAlignment="1" applyFill="1" applyFont="1">
      <alignment horizontal="left" readingOrder="0"/>
    </xf>
    <xf borderId="0" fillId="6" fontId="1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7" fontId="4" numFmtId="0" xfId="0" applyAlignment="1" applyFill="1" applyFont="1">
      <alignment horizontal="center" readingOrder="0" vertical="bottom"/>
    </xf>
    <xf borderId="6" fillId="7" fontId="4" numFmtId="0" xfId="0" applyAlignment="1" applyBorder="1" applyFont="1">
      <alignment horizontal="center" readingOrder="0" vertical="bottom"/>
    </xf>
    <xf borderId="7" fillId="0" fontId="5" numFmtId="0" xfId="0" applyBorder="1" applyFont="1"/>
    <xf borderId="8" fillId="0" fontId="5" numFmtId="0" xfId="0" applyBorder="1" applyFont="1"/>
    <xf borderId="6" fillId="7" fontId="4" numFmtId="0" xfId="0" applyAlignment="1" applyBorder="1" applyFont="1">
      <alignment horizontal="lef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1" fillId="0" fontId="5" numFmtId="0" xfId="0" applyBorder="1" applyFont="1"/>
    <xf borderId="9" fillId="0" fontId="3" numFmtId="0" xfId="0" applyAlignment="1" applyBorder="1" applyFont="1">
      <alignment horizontal="left" vertical="bottom"/>
    </xf>
    <xf borderId="6" fillId="7" fontId="4" numFmtId="0" xfId="0" applyAlignment="1" applyBorder="1" applyFont="1">
      <alignment vertical="bottom"/>
    </xf>
    <xf borderId="0" fillId="7" fontId="6" numFmtId="0" xfId="0" applyAlignment="1" applyFont="1">
      <alignment horizontal="right" readingOrder="0" vertical="bottom"/>
    </xf>
    <xf borderId="6" fillId="8" fontId="4" numFmtId="0" xfId="0" applyAlignment="1" applyBorder="1" applyFill="1" applyFont="1">
      <alignment readingOrder="0" vertical="bottom"/>
    </xf>
    <xf borderId="0" fillId="9" fontId="3" numFmtId="0" xfId="0" applyAlignment="1" applyFill="1" applyFont="1">
      <alignment vertical="bottom"/>
    </xf>
    <xf borderId="7" fillId="0" fontId="7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6" fillId="8" fontId="4" numFmtId="0" xfId="0" applyAlignment="1" applyBorder="1" applyFont="1">
      <alignment vertical="bottom"/>
    </xf>
    <xf borderId="6" fillId="10" fontId="4" numFmtId="0" xfId="0" applyAlignment="1" applyBorder="1" applyFill="1" applyFont="1">
      <alignment vertical="bottom"/>
    </xf>
    <xf borderId="0" fillId="0" fontId="3" numFmtId="0" xfId="0" applyAlignment="1" applyFont="1">
      <alignment horizontal="right" vertical="bottom"/>
    </xf>
    <xf borderId="3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0" fillId="0" fontId="8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0" fillId="11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4.63"/>
    <col customWidth="1" min="3" max="6" width="3.75"/>
    <col customWidth="1" min="7" max="7" width="4.13"/>
    <col customWidth="1" min="8" max="12" width="3.0"/>
    <col customWidth="1" min="13" max="13" width="4.5"/>
    <col customWidth="1" min="14" max="15" width="3.0"/>
    <col customWidth="1" min="16" max="17" width="5.13"/>
    <col customWidth="1" min="18" max="18" width="5.63"/>
    <col customWidth="1" min="19" max="19" width="3.38"/>
    <col customWidth="1" min="20" max="20" width="3.13"/>
    <col customWidth="1" min="21" max="21" width="4.63"/>
    <col customWidth="1" min="22" max="72" width="3.0"/>
    <col customWidth="1" min="73" max="86" width="3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>
      <c r="B2" s="4">
        <v>1.0</v>
      </c>
      <c r="C2" s="4">
        <v>2.0</v>
      </c>
      <c r="D2" s="4">
        <v>3.0</v>
      </c>
      <c r="E2" s="4">
        <v>4.0</v>
      </c>
      <c r="F2" s="4">
        <v>5.0</v>
      </c>
      <c r="G2" s="4">
        <v>6.0</v>
      </c>
      <c r="H2" s="4">
        <v>7.0</v>
      </c>
      <c r="I2" s="4">
        <v>8.0</v>
      </c>
      <c r="J2" s="4">
        <v>9.0</v>
      </c>
      <c r="K2" s="4">
        <v>10.0</v>
      </c>
      <c r="L2" s="4">
        <v>11.0</v>
      </c>
      <c r="M2" s="4">
        <v>12.0</v>
      </c>
      <c r="N2" s="4">
        <v>13.0</v>
      </c>
      <c r="O2" s="4">
        <v>14.0</v>
      </c>
      <c r="P2" s="4">
        <v>15.0</v>
      </c>
      <c r="Q2" s="4">
        <v>16.0</v>
      </c>
      <c r="R2" s="4">
        <v>17.0</v>
      </c>
      <c r="S2" s="4">
        <v>18.0</v>
      </c>
      <c r="T2" s="4">
        <v>19.0</v>
      </c>
      <c r="U2" s="5">
        <v>20.0</v>
      </c>
      <c r="V2" s="4">
        <v>21.0</v>
      </c>
      <c r="W2" s="4">
        <v>22.0</v>
      </c>
      <c r="X2" s="4">
        <v>23.0</v>
      </c>
      <c r="Y2" s="4">
        <v>24.0</v>
      </c>
      <c r="Z2" s="4">
        <v>25.0</v>
      </c>
      <c r="AA2" s="4">
        <v>26.0</v>
      </c>
      <c r="AB2" s="4">
        <v>27.0</v>
      </c>
      <c r="AC2" s="4">
        <v>28.0</v>
      </c>
      <c r="AD2" s="4">
        <v>29.0</v>
      </c>
      <c r="AE2" s="4">
        <v>30.0</v>
      </c>
      <c r="AF2" s="4">
        <v>31.0</v>
      </c>
      <c r="AG2" s="4">
        <v>32.0</v>
      </c>
      <c r="AH2" s="4">
        <v>33.0</v>
      </c>
      <c r="AI2" s="4">
        <v>34.0</v>
      </c>
      <c r="AJ2" s="4">
        <v>35.0</v>
      </c>
      <c r="AK2" s="4">
        <v>36.0</v>
      </c>
      <c r="AL2" s="4">
        <v>37.0</v>
      </c>
      <c r="AM2" s="4">
        <v>38.0</v>
      </c>
      <c r="AN2" s="4">
        <v>39.0</v>
      </c>
      <c r="AO2" s="4">
        <v>40.0</v>
      </c>
      <c r="AP2" s="4">
        <v>41.0</v>
      </c>
      <c r="AQ2" s="4">
        <v>42.0</v>
      </c>
      <c r="AR2" s="4">
        <v>43.0</v>
      </c>
      <c r="AS2" s="4">
        <v>44.0</v>
      </c>
      <c r="AT2" s="4">
        <v>45.0</v>
      </c>
      <c r="AU2" s="4">
        <v>46.0</v>
      </c>
      <c r="AV2" s="4">
        <v>47.0</v>
      </c>
      <c r="AW2" s="4">
        <v>48.0</v>
      </c>
      <c r="AX2" s="4">
        <v>49.0</v>
      </c>
      <c r="AY2" s="4">
        <v>50.0</v>
      </c>
      <c r="AZ2" s="4">
        <v>51.0</v>
      </c>
      <c r="BA2" s="4">
        <v>52.0</v>
      </c>
      <c r="BB2" s="4">
        <v>53.0</v>
      </c>
      <c r="BC2" s="4">
        <v>54.0</v>
      </c>
      <c r="BD2" s="4">
        <v>55.0</v>
      </c>
      <c r="BE2" s="4">
        <v>56.0</v>
      </c>
      <c r="BF2" s="4">
        <v>57.0</v>
      </c>
      <c r="BG2" s="4">
        <v>58.0</v>
      </c>
      <c r="BH2" s="4">
        <v>59.0</v>
      </c>
      <c r="BI2" s="4">
        <v>60.0</v>
      </c>
      <c r="BJ2" s="4">
        <v>61.0</v>
      </c>
      <c r="BK2" s="4">
        <v>62.0</v>
      </c>
      <c r="BL2" s="4">
        <v>63.0</v>
      </c>
      <c r="BM2" s="4">
        <v>64.0</v>
      </c>
      <c r="BN2" s="4">
        <v>65.0</v>
      </c>
      <c r="BO2" s="4">
        <v>66.0</v>
      </c>
      <c r="BP2" s="4">
        <v>67.0</v>
      </c>
      <c r="BQ2" s="4">
        <v>68.0</v>
      </c>
      <c r="BR2" s="4">
        <v>69.0</v>
      </c>
      <c r="BS2" s="4">
        <v>70.0</v>
      </c>
      <c r="BT2" s="6">
        <v>71.0</v>
      </c>
      <c r="BU2" s="7">
        <v>72.0</v>
      </c>
      <c r="BV2" s="7">
        <v>73.0</v>
      </c>
      <c r="BW2" s="7">
        <v>74.0</v>
      </c>
      <c r="BX2" s="7">
        <v>75.0</v>
      </c>
      <c r="BY2" s="7">
        <v>76.0</v>
      </c>
      <c r="BZ2" s="7">
        <v>77.0</v>
      </c>
      <c r="CA2" s="7">
        <v>78.0</v>
      </c>
      <c r="CB2" s="7"/>
      <c r="CC2" s="7"/>
      <c r="CD2" s="7"/>
      <c r="CE2" s="7"/>
      <c r="CF2" s="7"/>
      <c r="CG2" s="7"/>
      <c r="CH2" s="7"/>
    </row>
    <row r="3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2"/>
      <c r="M3" s="2"/>
      <c r="N3" s="2"/>
      <c r="O3" s="2"/>
      <c r="P3" s="2"/>
      <c r="Q3" s="2"/>
      <c r="R3" s="2"/>
      <c r="S3" s="2"/>
      <c r="T3" s="2"/>
      <c r="U3" s="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3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</row>
    <row r="4">
      <c r="A4" s="7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8"/>
      <c r="M4" s="8"/>
      <c r="N4" s="8"/>
      <c r="O4" s="2"/>
      <c r="P4" s="2"/>
      <c r="Q4" s="2"/>
      <c r="R4" s="2"/>
      <c r="S4" s="2"/>
      <c r="T4" s="2"/>
      <c r="U4" s="9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3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</row>
    <row r="5">
      <c r="A5" s="7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8"/>
      <c r="P5" s="8"/>
      <c r="Q5" s="2"/>
      <c r="R5" s="2"/>
      <c r="S5" s="2"/>
      <c r="T5" s="2"/>
      <c r="U5" s="9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3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</row>
    <row r="6">
      <c r="A6" s="7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0"/>
      <c r="P6" s="10"/>
      <c r="Q6" s="10"/>
      <c r="R6" s="2"/>
      <c r="S6" s="2"/>
      <c r="T6" s="2"/>
      <c r="U6" s="9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3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</row>
    <row r="7">
      <c r="A7" s="7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8"/>
      <c r="R7" s="8"/>
      <c r="S7" s="8"/>
      <c r="T7" s="8"/>
      <c r="U7" s="9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3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</row>
    <row r="8">
      <c r="A8" s="7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1"/>
      <c r="V8" s="8"/>
      <c r="W8" s="8"/>
      <c r="X8" s="8"/>
      <c r="Y8" s="8"/>
      <c r="Z8" s="8"/>
      <c r="AA8" s="8"/>
      <c r="AB8" s="8"/>
      <c r="AC8" s="8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3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</row>
    <row r="9">
      <c r="A9" s="7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10"/>
      <c r="S9" s="10"/>
      <c r="T9" s="2"/>
      <c r="U9" s="9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3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</row>
    <row r="10">
      <c r="A10" s="7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10"/>
      <c r="U10" s="12"/>
      <c r="V10" s="10"/>
      <c r="W10" s="10"/>
      <c r="X10" s="10"/>
      <c r="Y10" s="10"/>
      <c r="Z10" s="1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3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</row>
    <row r="11">
      <c r="A11" s="7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9"/>
      <c r="V11" s="2"/>
      <c r="W11" s="2"/>
      <c r="X11" s="2"/>
      <c r="Y11" s="2"/>
      <c r="Z11" s="2"/>
      <c r="AA11" s="2"/>
      <c r="AB11" s="2"/>
      <c r="AC11" s="2"/>
      <c r="AD11" s="8"/>
      <c r="AE11" s="8"/>
      <c r="AF11" s="8"/>
      <c r="AG11" s="8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3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</row>
    <row r="12">
      <c r="A12" s="7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9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8"/>
      <c r="AI12" s="8"/>
      <c r="AJ12" s="8"/>
      <c r="AK12" s="8"/>
      <c r="AL12" s="8"/>
      <c r="AM12" s="8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3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</row>
    <row r="13">
      <c r="A13" s="7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9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3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</row>
    <row r="14">
      <c r="A14" s="7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9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8"/>
      <c r="BA14" s="8"/>
      <c r="BB14" s="8"/>
      <c r="BC14" s="8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3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</row>
    <row r="15">
      <c r="A15" s="7" t="s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9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10"/>
      <c r="BA15" s="10"/>
      <c r="BB15" s="10"/>
      <c r="BC15" s="10"/>
      <c r="BD15" s="10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3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</row>
    <row r="16">
      <c r="A16" s="7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2"/>
      <c r="BO16" s="2"/>
      <c r="BP16" s="2"/>
      <c r="BQ16" s="2"/>
      <c r="BR16" s="2"/>
      <c r="BS16" s="2"/>
      <c r="BT16" s="3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</row>
    <row r="17">
      <c r="A17" s="13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6"/>
      <c r="BO17" s="16"/>
      <c r="BP17" s="16"/>
      <c r="BQ17" s="16"/>
      <c r="BR17" s="16"/>
      <c r="BS17" s="16"/>
      <c r="BT17" s="17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</row>
    <row r="18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</row>
    <row r="19">
      <c r="B19" s="18"/>
      <c r="C19" s="18"/>
      <c r="D19" s="18" t="s">
        <v>16</v>
      </c>
      <c r="E19" s="19"/>
      <c r="F19" s="1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>
      <c r="A20" s="20" t="s">
        <v>17</v>
      </c>
      <c r="B20" s="21" t="s">
        <v>18</v>
      </c>
      <c r="C20" s="22" t="s">
        <v>19</v>
      </c>
      <c r="D20" s="23"/>
      <c r="E20" s="23"/>
      <c r="F20" s="23"/>
      <c r="G20" s="22" t="s">
        <v>20</v>
      </c>
      <c r="H20" s="22" t="s">
        <v>21</v>
      </c>
      <c r="I20" s="23"/>
      <c r="J20" s="23"/>
      <c r="K20" s="23"/>
      <c r="L20" s="24"/>
      <c r="M20" s="25" t="s">
        <v>22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"/>
      <c r="AI20" s="2"/>
      <c r="AJ20" s="2"/>
    </row>
    <row r="21">
      <c r="A21" s="27" t="s">
        <v>1</v>
      </c>
      <c r="B21" s="20">
        <v>500.0</v>
      </c>
      <c r="C21" s="28" t="s">
        <v>23</v>
      </c>
      <c r="G21" s="29">
        <f t="shared" ref="G21:G25" si="1">B21</f>
        <v>500</v>
      </c>
      <c r="H21" s="28" t="s">
        <v>23</v>
      </c>
      <c r="L21" s="30"/>
      <c r="M21" s="31">
        <f t="shared" ref="M21:M22" si="2">B21</f>
        <v>500</v>
      </c>
      <c r="N21" s="26"/>
      <c r="O21" s="26"/>
      <c r="P21" s="26"/>
      <c r="Q21" s="32" t="s">
        <v>24</v>
      </c>
      <c r="R21" s="23"/>
      <c r="S21" s="23"/>
      <c r="T21" s="24"/>
      <c r="U21" s="33">
        <v>2500.0</v>
      </c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"/>
      <c r="AG21" s="2"/>
      <c r="AH21" s="2"/>
    </row>
    <row r="22">
      <c r="A22" s="27" t="s">
        <v>2</v>
      </c>
      <c r="B22" s="20">
        <v>400.0</v>
      </c>
      <c r="C22" s="28" t="s">
        <v>23</v>
      </c>
      <c r="G22" s="29">
        <f t="shared" si="1"/>
        <v>400</v>
      </c>
      <c r="H22" s="28" t="s">
        <v>23</v>
      </c>
      <c r="L22" s="30"/>
      <c r="M22" s="31">
        <f t="shared" si="2"/>
        <v>400</v>
      </c>
      <c r="N22" s="26"/>
      <c r="O22" s="26"/>
      <c r="P22" s="20" t="s">
        <v>25</v>
      </c>
      <c r="Q22" s="34" t="s">
        <v>26</v>
      </c>
      <c r="R22" s="23"/>
      <c r="S22" s="23"/>
      <c r="T22" s="24"/>
      <c r="U22" s="35">
        <f>G36</f>
        <v>2400</v>
      </c>
      <c r="V22" s="36" t="s">
        <v>27</v>
      </c>
      <c r="W22" s="36"/>
      <c r="X22" s="36"/>
      <c r="Y22" s="36"/>
      <c r="Z22" s="36"/>
      <c r="AA22" s="37"/>
      <c r="AB22" s="26"/>
      <c r="AC22" s="26"/>
      <c r="AD22" s="26"/>
      <c r="AE22" s="26"/>
      <c r="AF22" s="2"/>
      <c r="AG22" s="2"/>
      <c r="AH22" s="2"/>
    </row>
    <row r="23">
      <c r="A23" s="27" t="s">
        <v>3</v>
      </c>
      <c r="B23" s="20">
        <v>200.0</v>
      </c>
      <c r="C23" s="28" t="s">
        <v>23</v>
      </c>
      <c r="G23" s="29">
        <f t="shared" si="1"/>
        <v>200</v>
      </c>
      <c r="H23" s="29" t="s">
        <v>28</v>
      </c>
      <c r="L23" s="30"/>
      <c r="M23" s="31"/>
      <c r="N23" s="26"/>
      <c r="O23" s="26"/>
      <c r="P23" s="20" t="s">
        <v>29</v>
      </c>
      <c r="Q23" s="38" t="s">
        <v>30</v>
      </c>
      <c r="R23" s="23"/>
      <c r="S23" s="23"/>
      <c r="T23" s="24"/>
      <c r="U23" s="35">
        <f>M36</f>
        <v>2300</v>
      </c>
      <c r="V23" s="36" t="s">
        <v>31</v>
      </c>
      <c r="W23" s="36"/>
      <c r="X23" s="36"/>
      <c r="Y23" s="36"/>
      <c r="Z23" s="36"/>
      <c r="AA23" s="37"/>
      <c r="AB23" s="26"/>
      <c r="AC23" s="26"/>
      <c r="AD23" s="26"/>
      <c r="AE23" s="26"/>
      <c r="AF23" s="2"/>
      <c r="AG23" s="2"/>
      <c r="AH23" s="2"/>
    </row>
    <row r="24">
      <c r="A24" s="27" t="s">
        <v>4</v>
      </c>
      <c r="B24" s="20">
        <v>100.0</v>
      </c>
      <c r="C24" s="29" t="s">
        <v>23</v>
      </c>
      <c r="G24" s="29">
        <f t="shared" si="1"/>
        <v>100</v>
      </c>
      <c r="H24" s="29" t="s">
        <v>23</v>
      </c>
      <c r="L24" s="30"/>
      <c r="M24" s="31">
        <f>B24</f>
        <v>100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"/>
      <c r="AG24" s="2"/>
      <c r="AH24" s="2"/>
    </row>
    <row r="25">
      <c r="A25" s="27" t="s">
        <v>5</v>
      </c>
      <c r="B25" s="20">
        <v>200.0</v>
      </c>
      <c r="C25" s="29" t="s">
        <v>23</v>
      </c>
      <c r="G25" s="29">
        <f t="shared" si="1"/>
        <v>200</v>
      </c>
      <c r="H25" s="29" t="s">
        <v>28</v>
      </c>
      <c r="L25" s="30"/>
      <c r="M25" s="31"/>
      <c r="N25" s="26"/>
      <c r="O25" s="26"/>
      <c r="P25" s="26"/>
      <c r="Q25" s="39" t="s">
        <v>32</v>
      </c>
      <c r="R25" s="23"/>
      <c r="S25" s="23"/>
      <c r="T25" s="24"/>
      <c r="U25" s="40">
        <f>U23-U21</f>
        <v>-200</v>
      </c>
      <c r="V25" s="20" t="s">
        <v>33</v>
      </c>
      <c r="W25" s="26"/>
      <c r="X25" s="26"/>
      <c r="Y25" s="26"/>
      <c r="Z25" s="26"/>
      <c r="AB25" s="26"/>
      <c r="AC25" s="26"/>
      <c r="AE25" s="1" t="s">
        <v>34</v>
      </c>
      <c r="AF25" s="2"/>
      <c r="AG25" s="2"/>
      <c r="AH25" s="2"/>
    </row>
    <row r="26">
      <c r="A26" s="27" t="s">
        <v>6</v>
      </c>
      <c r="B26" s="20">
        <v>200.0</v>
      </c>
      <c r="C26" s="29" t="s">
        <v>35</v>
      </c>
      <c r="G26" s="29">
        <f>B26/2</f>
        <v>100</v>
      </c>
      <c r="H26" s="29" t="s">
        <v>28</v>
      </c>
      <c r="L26" s="30"/>
      <c r="M26" s="31"/>
      <c r="N26" s="26"/>
      <c r="O26" s="26"/>
      <c r="P26" s="26"/>
      <c r="Q26" s="39" t="s">
        <v>36</v>
      </c>
      <c r="R26" s="23"/>
      <c r="S26" s="23"/>
      <c r="T26" s="24"/>
      <c r="U26" s="40">
        <f>U23-U22</f>
        <v>-100</v>
      </c>
      <c r="V26" s="41" t="s">
        <v>37</v>
      </c>
      <c r="W26" s="41"/>
      <c r="X26" s="41"/>
      <c r="Y26" s="41"/>
      <c r="Z26" s="42"/>
      <c r="AC26" s="26"/>
      <c r="AE26" s="20" t="s">
        <v>38</v>
      </c>
      <c r="AF26" s="2"/>
      <c r="AG26" s="2"/>
      <c r="AH26" s="2"/>
    </row>
    <row r="27">
      <c r="A27" s="27" t="s">
        <v>39</v>
      </c>
      <c r="B27" s="20">
        <v>600.0</v>
      </c>
      <c r="C27" s="29" t="s">
        <v>23</v>
      </c>
      <c r="G27" s="29">
        <f>B27</f>
        <v>600</v>
      </c>
      <c r="H27" s="29" t="s">
        <v>23</v>
      </c>
      <c r="L27" s="30"/>
      <c r="M27" s="31">
        <f>B27</f>
        <v>600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"/>
      <c r="AI27" s="2"/>
      <c r="AJ27" s="2"/>
    </row>
    <row r="28">
      <c r="A28" s="27" t="s">
        <v>8</v>
      </c>
      <c r="B28" s="20">
        <v>600.0</v>
      </c>
      <c r="C28" s="29" t="s">
        <v>35</v>
      </c>
      <c r="G28" s="29">
        <f>B28/2</f>
        <v>300</v>
      </c>
      <c r="H28" s="29" t="s">
        <v>35</v>
      </c>
      <c r="L28" s="30"/>
      <c r="M28" s="31">
        <f t="shared" ref="M28:M29" si="3">B28/2</f>
        <v>300</v>
      </c>
      <c r="N28" s="26"/>
      <c r="O28" s="26"/>
      <c r="P28" s="26"/>
      <c r="Q28" s="43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"/>
      <c r="AI28" s="2"/>
      <c r="AJ28" s="2"/>
    </row>
    <row r="29">
      <c r="A29" s="27" t="s">
        <v>9</v>
      </c>
      <c r="B29" s="20">
        <v>400.0</v>
      </c>
      <c r="C29" s="29" t="s">
        <v>28</v>
      </c>
      <c r="G29" s="29"/>
      <c r="H29" s="29" t="s">
        <v>35</v>
      </c>
      <c r="L29" s="30"/>
      <c r="M29" s="31">
        <f t="shared" si="3"/>
        <v>200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"/>
      <c r="AI29" s="2"/>
      <c r="AJ29" s="2"/>
    </row>
    <row r="30">
      <c r="A30" s="27" t="s">
        <v>10</v>
      </c>
      <c r="B30" s="20">
        <v>600.0</v>
      </c>
      <c r="C30" s="29" t="s">
        <v>28</v>
      </c>
      <c r="G30" s="29"/>
      <c r="H30" s="29" t="s">
        <v>28</v>
      </c>
      <c r="L30" s="30"/>
      <c r="M30" s="31"/>
      <c r="N30" s="26"/>
      <c r="O30" s="26"/>
      <c r="P30" s="26"/>
      <c r="Q30" s="43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"/>
      <c r="AI30" s="2"/>
      <c r="AJ30" s="2"/>
    </row>
    <row r="31">
      <c r="A31" s="27" t="s">
        <v>11</v>
      </c>
      <c r="B31" s="20">
        <v>400.0</v>
      </c>
      <c r="C31" s="29" t="s">
        <v>28</v>
      </c>
      <c r="G31" s="29"/>
      <c r="H31" s="29" t="s">
        <v>35</v>
      </c>
      <c r="L31" s="30"/>
      <c r="M31" s="31">
        <f>B31/2</f>
        <v>200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"/>
      <c r="AI31" s="2"/>
      <c r="AJ31" s="2"/>
    </row>
    <row r="32">
      <c r="A32" s="27" t="s">
        <v>12</v>
      </c>
      <c r="B32" s="20">
        <v>800.0</v>
      </c>
      <c r="C32" s="29" t="s">
        <v>28</v>
      </c>
      <c r="G32" s="29"/>
      <c r="H32" s="29" t="s">
        <v>28</v>
      </c>
      <c r="L32" s="30"/>
      <c r="M32" s="31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"/>
      <c r="AI32" s="2"/>
      <c r="AJ32" s="2"/>
    </row>
    <row r="33">
      <c r="A33" s="27" t="s">
        <v>13</v>
      </c>
      <c r="B33" s="20">
        <v>1200.0</v>
      </c>
      <c r="C33" s="29" t="s">
        <v>28</v>
      </c>
      <c r="G33" s="29"/>
      <c r="H33" s="29" t="s">
        <v>28</v>
      </c>
      <c r="L33" s="30"/>
      <c r="M33" s="31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"/>
      <c r="AI33" s="2"/>
      <c r="AJ33" s="2"/>
    </row>
    <row r="34">
      <c r="A34" s="27" t="s">
        <v>14</v>
      </c>
      <c r="B34" s="20">
        <v>1000.0</v>
      </c>
      <c r="C34" s="29" t="s">
        <v>28</v>
      </c>
      <c r="G34" s="29"/>
      <c r="H34" s="29" t="s">
        <v>28</v>
      </c>
      <c r="L34" s="30"/>
      <c r="M34" s="31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"/>
      <c r="AJ34" s="2"/>
      <c r="AK34" s="2"/>
    </row>
    <row r="35">
      <c r="A35" s="27" t="s">
        <v>15</v>
      </c>
      <c r="B35" s="20">
        <v>900.0</v>
      </c>
      <c r="C35" s="29" t="s">
        <v>28</v>
      </c>
      <c r="G35" s="29"/>
      <c r="H35" s="29" t="s">
        <v>28</v>
      </c>
      <c r="L35" s="30"/>
      <c r="M35" s="31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"/>
      <c r="AJ35" s="2"/>
      <c r="AK35" s="2"/>
    </row>
    <row r="36">
      <c r="A36" s="44" t="s">
        <v>40</v>
      </c>
      <c r="B36" s="45">
        <f>SUM(B21:B35)</f>
        <v>8100</v>
      </c>
      <c r="C36" s="26"/>
      <c r="D36" s="26"/>
      <c r="E36" s="26"/>
      <c r="F36" s="44" t="s">
        <v>41</v>
      </c>
      <c r="G36" s="45">
        <f>SUM(G21:G35)</f>
        <v>2400</v>
      </c>
      <c r="H36" s="40"/>
      <c r="K36" s="40"/>
      <c r="L36" s="44" t="s">
        <v>42</v>
      </c>
      <c r="M36" s="35">
        <f>SUM(M21:M35)</f>
        <v>2300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"/>
      <c r="AL36" s="2"/>
      <c r="AM36" s="2"/>
    </row>
    <row r="37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</row>
    <row r="40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</row>
    <row r="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</row>
    <row r="4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</row>
    <row r="4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</row>
    <row r="44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</row>
    <row r="4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</row>
    <row r="4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</row>
    <row r="47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</row>
    <row r="48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</row>
    <row r="49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</row>
    <row r="50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</row>
    <row r="5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</row>
    <row r="5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</row>
    <row r="5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</row>
    <row r="5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</row>
    <row r="5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</row>
    <row r="56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</row>
    <row r="57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</row>
    <row r="58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</row>
    <row r="59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</row>
    <row r="6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</row>
    <row r="6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</row>
    <row r="6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</row>
    <row r="66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</row>
    <row r="67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</row>
    <row r="68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</row>
    <row r="6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</row>
    <row r="70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</row>
  </sheetData>
  <mergeCells count="38">
    <mergeCell ref="C20:F20"/>
    <mergeCell ref="H20:L20"/>
    <mergeCell ref="C21:F21"/>
    <mergeCell ref="H21:L21"/>
    <mergeCell ref="Q21:T21"/>
    <mergeCell ref="H22:L22"/>
    <mergeCell ref="Q22:T22"/>
    <mergeCell ref="H25:L25"/>
    <mergeCell ref="Q25:T25"/>
    <mergeCell ref="C22:F22"/>
    <mergeCell ref="C23:F23"/>
    <mergeCell ref="H23:L23"/>
    <mergeCell ref="Q23:T23"/>
    <mergeCell ref="C24:F24"/>
    <mergeCell ref="H24:L24"/>
    <mergeCell ref="C25:F25"/>
    <mergeCell ref="H28:L28"/>
    <mergeCell ref="H29:L29"/>
    <mergeCell ref="C26:F26"/>
    <mergeCell ref="H26:L26"/>
    <mergeCell ref="Q26:T26"/>
    <mergeCell ref="C27:F27"/>
    <mergeCell ref="H27:L27"/>
    <mergeCell ref="C28:F28"/>
    <mergeCell ref="C29:F29"/>
    <mergeCell ref="C33:F33"/>
    <mergeCell ref="C34:F34"/>
    <mergeCell ref="C35:F35"/>
    <mergeCell ref="H34:L34"/>
    <mergeCell ref="H35:L35"/>
    <mergeCell ref="H36:J36"/>
    <mergeCell ref="C30:F30"/>
    <mergeCell ref="H30:L30"/>
    <mergeCell ref="C31:F31"/>
    <mergeCell ref="H31:L31"/>
    <mergeCell ref="C32:F32"/>
    <mergeCell ref="H32:L32"/>
    <mergeCell ref="H33:L33"/>
  </mergeCells>
  <dataValidations>
    <dataValidation type="list" allowBlank="1" showErrorMessage="1" sqref="C21:C35 H21:H35">
      <formula1>"Finalizada,No iniciada,En curso"</formula1>
    </dataValidation>
  </dataValidations>
  <drawing r:id="rId1"/>
</worksheet>
</file>