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  <sheet state="visible" name="s" sheetId="2" r:id="rId6"/>
  </sheets>
  <definedNames/>
  <calcPr/>
</workbook>
</file>

<file path=xl/sharedStrings.xml><?xml version="1.0" encoding="utf-8"?>
<sst xmlns="http://schemas.openxmlformats.org/spreadsheetml/2006/main" count="71" uniqueCount="44">
  <si>
    <t>A</t>
  </si>
  <si>
    <t>B</t>
  </si>
  <si>
    <t>C</t>
  </si>
  <si>
    <t>D</t>
  </si>
  <si>
    <t>E</t>
  </si>
  <si>
    <t>F</t>
  </si>
  <si>
    <t xml:space="preserve">G </t>
  </si>
  <si>
    <t>H</t>
  </si>
  <si>
    <t>I</t>
  </si>
  <si>
    <t>J</t>
  </si>
  <si>
    <t>K</t>
  </si>
  <si>
    <t>L</t>
  </si>
  <si>
    <t>M</t>
  </si>
  <si>
    <t>N</t>
  </si>
  <si>
    <t>O</t>
  </si>
  <si>
    <t>Al fin del dia 10</t>
  </si>
  <si>
    <t>Segun Planificado</t>
  </si>
  <si>
    <t>$</t>
  </si>
  <si>
    <t>Status real</t>
  </si>
  <si>
    <t>Finalizada</t>
  </si>
  <si>
    <t>Costo Real (AC)</t>
  </si>
  <si>
    <t>Plan</t>
  </si>
  <si>
    <t>Valor Planif (PV)</t>
  </si>
  <si>
    <t>Planificado y Presupuestado</t>
  </si>
  <si>
    <t>Real</t>
  </si>
  <si>
    <t>Valor Ganado (EV)</t>
  </si>
  <si>
    <t>Status Real y Presupuestado</t>
  </si>
  <si>
    <t>En curso</t>
  </si>
  <si>
    <t>CV=EV - AC (Dinero)</t>
  </si>
  <si>
    <t>Gasto eficiente / ineficiente</t>
  </si>
  <si>
    <t>CV=Variacion de costos</t>
  </si>
  <si>
    <t>SV=EV - PV (Tiempo)</t>
  </si>
  <si>
    <t>Ejecución eficiente / ineficiente</t>
  </si>
  <si>
    <t>SV= Variación de tiempo</t>
  </si>
  <si>
    <t>G</t>
  </si>
  <si>
    <t>No iniciada</t>
  </si>
  <si>
    <t>Vemos que CV &lt; 0 → Gasté MAS de lo que presupuesté, estoy gastando de forma INEFICIENTE.</t>
  </si>
  <si>
    <t>Vemos que CV &gt; 0 → Gasté MENOS de lo que presupuesté, estoy gastando de forma EFICIENTE.</t>
  </si>
  <si>
    <t>Vemos que SV &lt; 0 → Lo que realicé es MENOR a lo que planifiqué entonces estoy ATRASADO</t>
  </si>
  <si>
    <t>Vemos que SV &gt; 0 → Lo que realicé es MAYOR a lo que planifiqué entonces estoy ADELANTADO</t>
  </si>
  <si>
    <t>BAC</t>
  </si>
  <si>
    <t>PV</t>
  </si>
  <si>
    <t>EV</t>
  </si>
  <si>
    <t>Criterio de corte para tareas no terminadas: la considero a la mitad    -    50% - 50%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</si>
</sst>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b/>
      <i/>
      <color theme="1"/>
      <name val="Arial"/>
    </font>
    <font/>
    <font>
      <i/>
      <color theme="1"/>
      <name val="Arial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</fills>
  <borders count="6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4" fontId="1" numFmtId="0" xfId="0" applyAlignment="1" applyFill="1" applyFont="1">
      <alignment horizontal="center"/>
    </xf>
    <xf borderId="1" fillId="0" fontId="1" numFmtId="0" xfId="0" applyAlignment="1" applyBorder="1" applyFont="1">
      <alignment horizontal="center"/>
    </xf>
    <xf borderId="0" fillId="5" fontId="1" numFmtId="0" xfId="0" applyAlignment="1" applyFill="1" applyFont="1">
      <alignment horizontal="center"/>
    </xf>
    <xf borderId="1" fillId="5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6" fontId="5" numFmtId="0" xfId="0" applyAlignment="1" applyFill="1" applyFont="1">
      <alignment horizontal="center" readingOrder="0" vertical="bottom"/>
    </xf>
    <xf borderId="2" fillId="6" fontId="5" numFmtId="0" xfId="0" applyAlignment="1" applyBorder="1" applyFont="1">
      <alignment horizontal="center" readingOrder="0" vertical="bottom"/>
    </xf>
    <xf borderId="3" fillId="0" fontId="6" numFmtId="0" xfId="0" applyBorder="1" applyFont="1"/>
    <xf borderId="2" fillId="6" fontId="5" numFmtId="0" xfId="0" applyAlignment="1" applyBorder="1" applyFont="1">
      <alignment horizontal="center" vertical="bottom"/>
    </xf>
    <xf borderId="4" fillId="0" fontId="6" numFmtId="0" xfId="0" applyBorder="1" applyFont="1"/>
    <xf borderId="2" fillId="6" fontId="5" numFmtId="0" xfId="0" applyAlignment="1" applyBorder="1" applyFont="1">
      <alignment horizontal="left" readingOrder="0"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1" fillId="0" fontId="6" numFmtId="0" xfId="0" applyBorder="1" applyFont="1"/>
    <xf borderId="5" fillId="0" fontId="4" numFmtId="0" xfId="0" applyAlignment="1" applyBorder="1" applyFont="1">
      <alignment horizontal="left" vertical="bottom"/>
    </xf>
    <xf borderId="2" fillId="6" fontId="5" numFmtId="0" xfId="0" applyAlignment="1" applyBorder="1" applyFont="1">
      <alignment vertical="bottom"/>
    </xf>
    <xf borderId="2" fillId="6" fontId="4" numFmtId="0" xfId="0" applyAlignment="1" applyBorder="1" applyFont="1">
      <alignment horizontal="right" readingOrder="0" vertical="bottom"/>
    </xf>
    <xf borderId="2" fillId="7" fontId="5" numFmtId="0" xfId="0" applyAlignment="1" applyBorder="1" applyFill="1" applyFont="1">
      <alignment readingOrder="0" vertical="bottom"/>
    </xf>
    <xf borderId="2" fillId="0" fontId="4" numFmtId="0" xfId="0" applyAlignment="1" applyBorder="1" applyFont="1">
      <alignment horizontal="right" vertical="bottom"/>
    </xf>
    <xf borderId="2" fillId="0" fontId="7" numFmtId="0" xfId="0" applyAlignment="1" applyBorder="1" applyFont="1">
      <alignment vertical="bottom"/>
    </xf>
    <xf borderId="2" fillId="7" fontId="5" numFmtId="0" xfId="0" applyAlignment="1" applyBorder="1" applyFont="1">
      <alignment vertical="bottom"/>
    </xf>
    <xf borderId="2" fillId="8" fontId="5" numFmtId="0" xfId="0" applyAlignment="1" applyBorder="1" applyFill="1" applyFont="1">
      <alignment vertical="bottom"/>
    </xf>
    <xf borderId="2" fillId="0" fontId="4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0" fillId="9" fontId="4" numFmtId="0" xfId="0" applyAlignment="1" applyFill="1" applyFont="1">
      <alignment horizontal="center" readingOrder="0" vertical="bottom"/>
    </xf>
    <xf borderId="0" fillId="9" fontId="4" numFmtId="0" xfId="0" applyAlignment="1" applyFont="1">
      <alignment vertical="bottom"/>
    </xf>
    <xf borderId="0" fillId="9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10" fontId="1" numFmtId="0" xfId="0" applyAlignment="1" applyFill="1" applyFont="1">
      <alignment horizontal="center" readingOrder="0"/>
    </xf>
    <xf borderId="0" fillId="1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67200" cy="3990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.88"/>
    <col customWidth="1" min="3" max="6" width="3.88"/>
    <col customWidth="1" min="7" max="7" width="4.75"/>
    <col customWidth="1" min="8" max="11" width="3.88"/>
    <col customWidth="1" min="12" max="12" width="3.63"/>
    <col customWidth="1" min="13" max="13" width="5.63"/>
    <col customWidth="1" min="14" max="15" width="3.88"/>
    <col customWidth="1" min="16" max="16" width="5.0"/>
    <col customWidth="1" min="17" max="20" width="4.63"/>
    <col customWidth="1" min="21" max="21" width="5.0"/>
    <col customWidth="1" min="22" max="25" width="3.88"/>
    <col customWidth="1" min="26" max="26" width="15.38"/>
    <col customWidth="1" min="27" max="41" width="3.88"/>
  </cols>
  <sheetData>
    <row r="1" ht="16.5" customHeight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3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2.75" customHeight="1">
      <c r="A2" s="4" t="s">
        <v>0</v>
      </c>
      <c r="B2" s="5"/>
      <c r="C2" s="5"/>
      <c r="D2" s="1"/>
      <c r="E2" s="1"/>
      <c r="F2" s="1"/>
      <c r="G2" s="1"/>
      <c r="H2" s="1"/>
      <c r="I2" s="1"/>
      <c r="J2" s="1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2.75" customHeight="1">
      <c r="A3" s="4" t="s">
        <v>1</v>
      </c>
      <c r="B3" s="5"/>
      <c r="C3" s="5"/>
      <c r="D3" s="5"/>
      <c r="E3" s="5"/>
      <c r="F3" s="1"/>
      <c r="G3" s="1"/>
      <c r="H3" s="1"/>
      <c r="I3" s="1"/>
      <c r="J3" s="1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2.75" customHeight="1">
      <c r="A4" s="4" t="s">
        <v>2</v>
      </c>
      <c r="B4" s="5"/>
      <c r="C4" s="5"/>
      <c r="D4" s="1"/>
      <c r="E4" s="1"/>
      <c r="F4" s="1"/>
      <c r="G4" s="1"/>
      <c r="H4" s="1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2.75" customHeight="1">
      <c r="A5" s="4" t="s">
        <v>3</v>
      </c>
      <c r="B5" s="7"/>
      <c r="C5" s="7"/>
      <c r="D5" s="7"/>
      <c r="E5" s="1"/>
      <c r="F5" s="1"/>
      <c r="G5" s="1"/>
      <c r="H5" s="1"/>
      <c r="I5" s="1"/>
      <c r="J5" s="1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ht="12.75" customHeight="1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ht="12.75" customHeight="1">
      <c r="A7" s="4" t="s">
        <v>5</v>
      </c>
      <c r="B7" s="1"/>
      <c r="C7" s="1"/>
      <c r="D7" s="1"/>
      <c r="E7" s="1"/>
      <c r="F7" s="5"/>
      <c r="G7" s="5"/>
      <c r="H7" s="5"/>
      <c r="I7" s="1"/>
      <c r="J7" s="1"/>
      <c r="K7" s="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ht="12.75" customHeight="1">
      <c r="A8" s="4" t="s">
        <v>6</v>
      </c>
      <c r="B8" s="1"/>
      <c r="C8" s="1"/>
      <c r="D8" s="1"/>
      <c r="E8" s="7"/>
      <c r="F8" s="7"/>
      <c r="G8" s="7"/>
      <c r="H8" s="7"/>
      <c r="I8" s="7"/>
      <c r="J8" s="7"/>
      <c r="K8" s="8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ht="12.75" customHeight="1">
      <c r="A9" s="4" t="s">
        <v>7</v>
      </c>
      <c r="B9" s="1"/>
      <c r="C9" s="1"/>
      <c r="D9" s="5"/>
      <c r="E9" s="5"/>
      <c r="F9" s="5"/>
      <c r="G9" s="5"/>
      <c r="H9" s="5"/>
      <c r="I9" s="1"/>
      <c r="J9" s="1"/>
      <c r="K9" s="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ht="12.75" customHeight="1">
      <c r="A10" s="4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6"/>
      <c r="L10" s="1"/>
      <c r="M10" s="7"/>
      <c r="N10" s="7"/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ht="12.75" customHeight="1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9"/>
      <c r="L11" s="5"/>
      <c r="M11" s="5"/>
      <c r="N11" s="5"/>
      <c r="O11" s="5"/>
      <c r="P11" s="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ht="12.75" customHeight="1">
      <c r="A12" s="4" t="s">
        <v>10</v>
      </c>
      <c r="B12" s="1"/>
      <c r="C12" s="1"/>
      <c r="D12" s="1"/>
      <c r="E12" s="1"/>
      <c r="F12" s="1"/>
      <c r="G12" s="1"/>
      <c r="H12" s="1"/>
      <c r="I12" s="5"/>
      <c r="J12" s="5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ht="12.75" customHeight="1">
      <c r="A13" s="4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6"/>
      <c r="L13" s="1"/>
      <c r="M13" s="1"/>
      <c r="N13" s="1"/>
      <c r="O13" s="1"/>
      <c r="P13" s="1"/>
      <c r="Q13" s="7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ht="12.75" customHeight="1">
      <c r="A14" s="4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6"/>
      <c r="L14" s="1"/>
      <c r="M14" s="1"/>
      <c r="N14" s="1"/>
      <c r="O14" s="1"/>
      <c r="P14" s="1"/>
      <c r="Q14" s="5"/>
      <c r="R14" s="5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ht="12.75" customHeight="1">
      <c r="A15" s="4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6"/>
      <c r="L15" s="1"/>
      <c r="M15" s="1"/>
      <c r="N15" s="1"/>
      <c r="O15" s="1"/>
      <c r="P15" s="1"/>
      <c r="Q15" s="1"/>
      <c r="R15" s="7"/>
      <c r="S15" s="7"/>
      <c r="T15" s="7"/>
      <c r="U15" s="7"/>
      <c r="V15" s="7"/>
      <c r="W15" s="7"/>
      <c r="X15" s="7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ht="12.75" customHeight="1">
      <c r="A16" s="4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6"/>
      <c r="L16" s="1"/>
      <c r="M16" s="1"/>
      <c r="N16" s="1"/>
      <c r="O16" s="1"/>
      <c r="P16" s="1"/>
      <c r="Q16" s="1"/>
      <c r="R16" s="1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>
      <c r="A18" s="1"/>
      <c r="B18" s="10"/>
      <c r="C18" s="10"/>
      <c r="D18" s="10" t="s">
        <v>15</v>
      </c>
      <c r="E18" s="11"/>
      <c r="F18" s="11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>
      <c r="A19" s="12"/>
      <c r="B19" s="13"/>
      <c r="C19" s="14" t="s">
        <v>16</v>
      </c>
      <c r="D19" s="15"/>
      <c r="E19" s="15"/>
      <c r="F19" s="15"/>
      <c r="G19" s="14" t="s">
        <v>17</v>
      </c>
      <c r="H19" s="16" t="s">
        <v>18</v>
      </c>
      <c r="I19" s="15"/>
      <c r="J19" s="15"/>
      <c r="K19" s="15"/>
      <c r="L19" s="17"/>
      <c r="M19" s="18" t="s">
        <v>17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"/>
      <c r="AI19" s="1"/>
      <c r="AJ19" s="1"/>
    </row>
    <row r="20">
      <c r="A20" s="20" t="s">
        <v>0</v>
      </c>
      <c r="B20" s="21">
        <v>100.0</v>
      </c>
      <c r="C20" s="22"/>
      <c r="G20" s="22"/>
      <c r="H20" s="23" t="s">
        <v>19</v>
      </c>
      <c r="L20" s="24"/>
      <c r="M20" s="25"/>
      <c r="N20" s="19"/>
      <c r="O20" s="19"/>
      <c r="P20" s="19"/>
      <c r="Q20" s="26" t="s">
        <v>20</v>
      </c>
      <c r="R20" s="15"/>
      <c r="S20" s="15"/>
      <c r="T20" s="17"/>
      <c r="U20" s="27">
        <v>2550.0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"/>
      <c r="AG20" s="1"/>
      <c r="AH20" s="1"/>
    </row>
    <row r="21">
      <c r="A21" s="20" t="s">
        <v>1</v>
      </c>
      <c r="B21" s="21">
        <v>200.0</v>
      </c>
      <c r="C21" s="22"/>
      <c r="G21" s="22"/>
      <c r="H21" s="23" t="s">
        <v>19</v>
      </c>
      <c r="L21" s="24"/>
      <c r="M21" s="25"/>
      <c r="N21" s="19"/>
      <c r="O21" s="19"/>
      <c r="P21" s="21" t="s">
        <v>21</v>
      </c>
      <c r="Q21" s="28" t="s">
        <v>22</v>
      </c>
      <c r="R21" s="15"/>
      <c r="S21" s="15"/>
      <c r="T21" s="17"/>
      <c r="U21" s="29">
        <f>G35</f>
        <v>0</v>
      </c>
      <c r="V21" s="30" t="s">
        <v>23</v>
      </c>
      <c r="W21" s="15"/>
      <c r="X21" s="15"/>
      <c r="Y21" s="15"/>
      <c r="Z21" s="15"/>
      <c r="AA21" s="17"/>
      <c r="AB21" s="19"/>
      <c r="AC21" s="19"/>
      <c r="AD21" s="19"/>
      <c r="AE21" s="19"/>
      <c r="AF21" s="1"/>
      <c r="AG21" s="1"/>
      <c r="AH21" s="1"/>
    </row>
    <row r="22">
      <c r="A22" s="20" t="s">
        <v>2</v>
      </c>
      <c r="B22" s="21">
        <v>300.0</v>
      </c>
      <c r="C22" s="22"/>
      <c r="G22" s="22"/>
      <c r="H22" s="23" t="s">
        <v>19</v>
      </c>
      <c r="L22" s="24"/>
      <c r="M22" s="25"/>
      <c r="N22" s="19"/>
      <c r="O22" s="19"/>
      <c r="P22" s="21" t="s">
        <v>24</v>
      </c>
      <c r="Q22" s="31" t="s">
        <v>25</v>
      </c>
      <c r="R22" s="15"/>
      <c r="S22" s="15"/>
      <c r="T22" s="17"/>
      <c r="U22" s="29">
        <f>M35</f>
        <v>0</v>
      </c>
      <c r="V22" s="30" t="s">
        <v>26</v>
      </c>
      <c r="W22" s="15"/>
      <c r="X22" s="15"/>
      <c r="Y22" s="15"/>
      <c r="Z22" s="15"/>
      <c r="AA22" s="17"/>
      <c r="AB22" s="19"/>
      <c r="AC22" s="19"/>
      <c r="AD22" s="19"/>
      <c r="AE22" s="19"/>
      <c r="AF22" s="1"/>
      <c r="AG22" s="1"/>
      <c r="AH22" s="1"/>
    </row>
    <row r="23">
      <c r="A23" s="20" t="s">
        <v>3</v>
      </c>
      <c r="B23" s="21">
        <v>400.0</v>
      </c>
      <c r="C23" s="22"/>
      <c r="G23" s="22"/>
      <c r="H23" s="22" t="s">
        <v>27</v>
      </c>
      <c r="L23" s="24"/>
      <c r="M23" s="25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"/>
      <c r="AG23" s="1"/>
      <c r="AH23" s="1"/>
    </row>
    <row r="24">
      <c r="A24" s="20" t="s">
        <v>4</v>
      </c>
      <c r="B24" s="21">
        <v>500.0</v>
      </c>
      <c r="C24" s="22"/>
      <c r="G24" s="22"/>
      <c r="H24" s="22" t="s">
        <v>27</v>
      </c>
      <c r="L24" s="24"/>
      <c r="M24" s="25"/>
      <c r="N24" s="19"/>
      <c r="O24" s="19"/>
      <c r="P24" s="19"/>
      <c r="Q24" s="32" t="s">
        <v>28</v>
      </c>
      <c r="R24" s="15"/>
      <c r="S24" s="15"/>
      <c r="T24" s="17"/>
      <c r="U24" s="29">
        <f>U22-U20</f>
        <v>-2550</v>
      </c>
      <c r="V24" s="33" t="s">
        <v>29</v>
      </c>
      <c r="W24" s="15"/>
      <c r="X24" s="15"/>
      <c r="Y24" s="15"/>
      <c r="Z24" s="17"/>
      <c r="AA24" s="19"/>
      <c r="AB24" s="19" t="s">
        <v>30</v>
      </c>
      <c r="AC24" s="19"/>
      <c r="AD24" s="19"/>
      <c r="AE24" s="19"/>
      <c r="AF24" s="1"/>
      <c r="AG24" s="1"/>
      <c r="AH24" s="1"/>
    </row>
    <row r="25">
      <c r="A25" s="20" t="s">
        <v>5</v>
      </c>
      <c r="B25" s="21">
        <v>600.0</v>
      </c>
      <c r="C25" s="22"/>
      <c r="G25" s="22"/>
      <c r="H25" s="22" t="s">
        <v>27</v>
      </c>
      <c r="L25" s="24"/>
      <c r="M25" s="25"/>
      <c r="N25" s="19"/>
      <c r="O25" s="19"/>
      <c r="P25" s="19"/>
      <c r="Q25" s="32" t="s">
        <v>31</v>
      </c>
      <c r="R25" s="15"/>
      <c r="S25" s="15"/>
      <c r="T25" s="17"/>
      <c r="U25" s="29">
        <f>U22-U21</f>
        <v>0</v>
      </c>
      <c r="V25" s="33" t="s">
        <v>32</v>
      </c>
      <c r="W25" s="15"/>
      <c r="X25" s="15"/>
      <c r="Y25" s="15"/>
      <c r="Z25" s="17"/>
      <c r="AA25" s="19"/>
      <c r="AB25" s="19" t="s">
        <v>33</v>
      </c>
      <c r="AC25" s="19"/>
      <c r="AD25" s="19"/>
      <c r="AE25" s="19"/>
      <c r="AF25" s="1"/>
      <c r="AG25" s="1"/>
      <c r="AH25" s="1"/>
    </row>
    <row r="26">
      <c r="A26" s="20" t="s">
        <v>34</v>
      </c>
      <c r="B26" s="21">
        <v>700.0</v>
      </c>
      <c r="C26" s="22"/>
      <c r="G26" s="22"/>
      <c r="H26" s="22" t="s">
        <v>19</v>
      </c>
      <c r="L26" s="24"/>
      <c r="M26" s="2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"/>
      <c r="AI26" s="1"/>
      <c r="AJ26" s="1"/>
    </row>
    <row r="27">
      <c r="A27" s="20" t="s">
        <v>7</v>
      </c>
      <c r="B27" s="21">
        <v>800.0</v>
      </c>
      <c r="C27" s="22"/>
      <c r="G27" s="22"/>
      <c r="H27" s="22" t="s">
        <v>35</v>
      </c>
      <c r="L27" s="24"/>
      <c r="M27" s="25"/>
      <c r="N27" s="19"/>
      <c r="O27" s="19"/>
      <c r="P27" s="19"/>
      <c r="Q27" s="34" t="s">
        <v>36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"/>
      <c r="AI27" s="1"/>
      <c r="AJ27" s="1"/>
    </row>
    <row r="28">
      <c r="A28" s="20" t="s">
        <v>8</v>
      </c>
      <c r="B28" s="21">
        <v>900.0</v>
      </c>
      <c r="C28" s="22"/>
      <c r="G28" s="22"/>
      <c r="H28" s="22" t="s">
        <v>35</v>
      </c>
      <c r="L28" s="24"/>
      <c r="M28" s="25"/>
      <c r="N28" s="19"/>
      <c r="O28" s="19"/>
      <c r="P28" s="19"/>
      <c r="Q28" s="34" t="s">
        <v>37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"/>
      <c r="AI28" s="1"/>
      <c r="AJ28" s="1"/>
    </row>
    <row r="29">
      <c r="A29" s="20" t="s">
        <v>9</v>
      </c>
      <c r="B29" s="21">
        <v>1000.0</v>
      </c>
      <c r="C29" s="22"/>
      <c r="G29" s="22"/>
      <c r="H29" s="22" t="s">
        <v>35</v>
      </c>
      <c r="L29" s="24"/>
      <c r="M29" s="25"/>
      <c r="N29" s="19"/>
      <c r="O29" s="19"/>
      <c r="P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"/>
      <c r="AI29" s="1"/>
      <c r="AJ29" s="1"/>
    </row>
    <row r="30">
      <c r="A30" s="20" t="s">
        <v>10</v>
      </c>
      <c r="B30" s="21">
        <v>1100.0</v>
      </c>
      <c r="C30" s="22"/>
      <c r="G30" s="22"/>
      <c r="H30" s="22" t="s">
        <v>35</v>
      </c>
      <c r="L30" s="24"/>
      <c r="M30" s="25"/>
      <c r="N30" s="19"/>
      <c r="O30" s="19"/>
      <c r="P30" s="19"/>
      <c r="Q30" s="34" t="s">
        <v>38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"/>
      <c r="AI30" s="1"/>
      <c r="AJ30" s="1"/>
    </row>
    <row r="31">
      <c r="A31" s="20" t="s">
        <v>11</v>
      </c>
      <c r="B31" s="21">
        <v>1200.0</v>
      </c>
      <c r="C31" s="22"/>
      <c r="G31" s="22"/>
      <c r="H31" s="22" t="s">
        <v>35</v>
      </c>
      <c r="L31" s="24"/>
      <c r="M31" s="25"/>
      <c r="N31" s="19"/>
      <c r="O31" s="19"/>
      <c r="P31" s="19"/>
      <c r="Q31" s="34" t="s">
        <v>39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"/>
      <c r="AI31" s="1"/>
      <c r="AJ31" s="1"/>
    </row>
    <row r="32">
      <c r="A32" s="20" t="s">
        <v>12</v>
      </c>
      <c r="B32" s="21">
        <v>1300.0</v>
      </c>
      <c r="C32" s="22"/>
      <c r="G32" s="22"/>
      <c r="H32" s="22" t="s">
        <v>35</v>
      </c>
      <c r="L32" s="24"/>
      <c r="M32" s="2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"/>
      <c r="AI32" s="1"/>
      <c r="AJ32" s="1"/>
    </row>
    <row r="33">
      <c r="A33" s="20" t="s">
        <v>13</v>
      </c>
      <c r="B33" s="21">
        <v>1400.0</v>
      </c>
      <c r="C33" s="22"/>
      <c r="G33" s="22"/>
      <c r="H33" s="22" t="s">
        <v>35</v>
      </c>
      <c r="L33" s="24"/>
      <c r="M33" s="2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"/>
      <c r="AJ33" s="1"/>
      <c r="AK33" s="1"/>
    </row>
    <row r="34">
      <c r="A34" s="20" t="s">
        <v>14</v>
      </c>
      <c r="B34" s="21">
        <v>1500.0</v>
      </c>
      <c r="C34" s="22"/>
      <c r="G34" s="22"/>
      <c r="H34" s="22" t="s">
        <v>35</v>
      </c>
      <c r="L34" s="24"/>
      <c r="M34" s="2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"/>
      <c r="AJ34" s="1"/>
      <c r="AK34" s="1"/>
    </row>
    <row r="35">
      <c r="A35" s="35" t="s">
        <v>40</v>
      </c>
      <c r="B35" s="36">
        <f>SUM(B20:B34)</f>
        <v>12000</v>
      </c>
      <c r="C35" s="19"/>
      <c r="D35" s="19"/>
      <c r="E35" s="19"/>
      <c r="F35" s="37" t="s">
        <v>41</v>
      </c>
      <c r="G35" s="36">
        <f>SUM(G20:G34)</f>
        <v>0</v>
      </c>
      <c r="H35" s="38"/>
      <c r="K35" s="38"/>
      <c r="L35" s="37" t="s">
        <v>42</v>
      </c>
      <c r="M35" s="36">
        <f>SUM(M20:M34)</f>
        <v>0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"/>
      <c r="AL35" s="1"/>
      <c r="AM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>
      <c r="A37" s="39" t="s">
        <v>43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</sheetData>
  <mergeCells count="42">
    <mergeCell ref="Q21:T21"/>
    <mergeCell ref="V21:AA21"/>
    <mergeCell ref="V22:AA22"/>
    <mergeCell ref="Q24:T24"/>
    <mergeCell ref="V24:Z24"/>
    <mergeCell ref="Q25:T25"/>
    <mergeCell ref="V25:Z25"/>
    <mergeCell ref="C19:F19"/>
    <mergeCell ref="H19:L19"/>
    <mergeCell ref="C20:F20"/>
    <mergeCell ref="H20:L20"/>
    <mergeCell ref="Q20:T20"/>
    <mergeCell ref="C21:F21"/>
    <mergeCell ref="Q22:T22"/>
    <mergeCell ref="H28:L28"/>
    <mergeCell ref="H29:L29"/>
    <mergeCell ref="H30:L30"/>
    <mergeCell ref="H31:L31"/>
    <mergeCell ref="H32:L32"/>
    <mergeCell ref="H33:L33"/>
    <mergeCell ref="H34:L34"/>
    <mergeCell ref="H35:J35"/>
    <mergeCell ref="H21:L21"/>
    <mergeCell ref="H22:L22"/>
    <mergeCell ref="H23:L23"/>
    <mergeCell ref="H24:L24"/>
    <mergeCell ref="H25:L25"/>
    <mergeCell ref="H26:L26"/>
    <mergeCell ref="H27:L27"/>
    <mergeCell ref="C29:F29"/>
    <mergeCell ref="C30:F30"/>
    <mergeCell ref="C31:F31"/>
    <mergeCell ref="C32:F32"/>
    <mergeCell ref="C33:F33"/>
    <mergeCell ref="C34:F34"/>
    <mergeCell ref="C22:F22"/>
    <mergeCell ref="C23:F23"/>
    <mergeCell ref="C24:F24"/>
    <mergeCell ref="C25:F25"/>
    <mergeCell ref="C26:F26"/>
    <mergeCell ref="C27:F27"/>
    <mergeCell ref="C28:F28"/>
  </mergeCells>
  <dataValidations>
    <dataValidation type="list" allowBlank="1" showErrorMessage="1" sqref="C20:C34 H20:H34">
      <formula1>"Finalizada,No iniciada,En curso"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