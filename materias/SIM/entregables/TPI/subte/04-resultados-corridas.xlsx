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rr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FF17365D"/>
      <sz val="14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b val="1"/>
      <color rgb="FF1F1F1F"/>
      <sz val="10"/>
    </font>
    <font>
      <name val="Arial"/>
      <color rgb="FF1F1F1F"/>
      <sz val="10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4" fontId="5" fillId="0" borderId="0" pivotButton="0" quotePrefix="0" xfId="0"/>
    <xf numFmtId="1" fontId="0" fillId="3" borderId="1" applyAlignment="1" pivotButton="0" quotePrefix="0" xfId="0">
      <alignment vertical="center"/>
    </xf>
    <xf numFmtId="1" fontId="0" fillId="3" borderId="1" pivotButton="0" quotePrefix="0" xfId="0"/>
    <xf numFmtId="4" fontId="0" fillId="4" borderId="1" pivotButton="0" quotePrefix="0" xfId="0"/>
    <xf numFmtId="4" fontId="0" fillId="5" borderId="1" pivotButton="0" quotePrefix="0" xfId="0"/>
    <xf numFmtId="164" fontId="0" fillId="4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dxfs count="2">
    <dxf>
      <font>
        <b val="1"/>
        <color rgb="FF274E13"/>
      </font>
      <fill>
        <patternFill patternType="solid">
          <fgColor rgb="FFD9EAD3"/>
        </patternFill>
      </fill>
    </dxf>
    <dxf>
      <font>
        <b val="1"/>
        <color rgb="FF7F6000"/>
      </font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2:N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  <col width="15" customWidth="1" min="8" max="8"/>
    <col width="17" customWidth="1" min="9" max="9"/>
    <col width="14" customWidth="1" min="10" max="10"/>
    <col width="10" customWidth="1" min="11" max="11"/>
    <col width="12" customWidth="1" min="12" max="12"/>
    <col width="12" customWidth="1" min="13" max="13"/>
    <col width="28" customWidth="1" min="14" max="14"/>
  </cols>
  <sheetData>
    <row r="2">
      <c r="A2" s="1" t="inlineStr">
        <is>
          <t>Comparación apareada E0-E1</t>
        </is>
      </c>
    </row>
    <row r="3">
      <c r="A3" s="2" t="inlineStr">
        <is>
          <t>Cada diferencia se calcula como E1 menos E0. Un valor negativo mejora las medidas cuyo criterio es Menor.</t>
        </is>
      </c>
    </row>
    <row r="5">
      <c r="A5" s="3" t="inlineStr">
        <is>
          <t>Estado</t>
        </is>
      </c>
      <c r="B5" s="4">
        <f>IF(MIN(E16,E17,E25)=0,"Sin corridas cargadas",IF(MIN(E16,E17,E25)&lt;10,"Corridas incompletas","Listo para análisis"))</f>
        <v/>
      </c>
      <c r="D5" t="inlineStr">
        <is>
          <t>El intervalo se habilita al completar como mínimo n = 10 pares (n0 del procedimiento secuencial, §7.3 del plan). El diseño de referencia sigue siendo n = 30, pero ya no es un mínimo fijo: t crítico se recalcula con T.INV.2T según el n real.</t>
        </is>
      </c>
    </row>
    <row r="6">
      <c r="A6" s="3" t="inlineStr">
        <is>
          <t>Nivel de confianza familiar</t>
        </is>
      </c>
      <c r="B6" s="4" t="n">
        <v>0.95</v>
      </c>
      <c r="D6" t="inlineStr">
        <is>
          <t>t crítico calculado con T.INV.2T(alfa, n-1): alfa_s = alfa/k (Bonferroni, k = comparaciones primarias) para las tres primarias, y 1 - nivel de confianza (individual, descriptivo) para las secundarias y los controles de verificación.</t>
        </is>
      </c>
    </row>
    <row r="7">
      <c r="A7" s="3" t="inlineStr">
        <is>
          <t>Comparaciones primarias</t>
        </is>
      </c>
      <c r="B7" s="4">
        <f>COUNTIF(B11:B25,"Primaria")</f>
        <v/>
      </c>
    </row>
    <row r="8">
      <c r="A8" s="3" t="inlineStr">
        <is>
          <t>Alfa por comparación primaria</t>
        </is>
      </c>
      <c r="B8" s="4">
        <f>(1-B6)/B7</f>
        <v/>
      </c>
    </row>
    <row r="9">
      <c r="A9" s="2" t="inlineStr">
        <is>
          <t>Primarias (D4, alfa_s = alfa/k, IC Bonferroni): P90 de espera, proporción con espera &gt; 30 s y P90 de la cohorte pico 08:15-08:45. Controles de verificación (conservación, D≈0 esperado; no forman parte de la familia Bonferroni): pasajeros generados/desviados, procesados a las 09:30 (throughput) y procesados con drenaje. El resto son secundarias, IC individual 95% descriptivo.</t>
        </is>
      </c>
    </row>
    <row r="10" ht="40" customHeight="1">
      <c r="A10" s="5" t="inlineStr">
        <is>
          <t>Medida</t>
        </is>
      </c>
      <c r="B10" s="5" t="inlineStr">
        <is>
          <t>Familia</t>
        </is>
      </c>
      <c r="C10" s="5" t="inlineStr">
        <is>
          <t>Criterio</t>
        </is>
      </c>
      <c r="D10" s="5" t="inlineStr">
        <is>
          <t>Unidad</t>
        </is>
      </c>
      <c r="E10" s="5" t="inlineStr">
        <is>
          <t>n pares</t>
        </is>
      </c>
      <c r="F10" s="5" t="inlineStr">
        <is>
          <t>Media E0</t>
        </is>
      </c>
      <c r="G10" s="5" t="inlineStr">
        <is>
          <t>Media E1</t>
        </is>
      </c>
      <c r="H10" s="5" t="inlineStr">
        <is>
          <t>Diferencia media</t>
        </is>
      </c>
      <c r="I10" s="5" t="inlineStr">
        <is>
          <t>Desvío de diferencias</t>
        </is>
      </c>
      <c r="J10" s="5" t="inlineStr">
        <is>
          <t>Error estándar</t>
        </is>
      </c>
      <c r="K10" s="5" t="inlineStr">
        <is>
          <t>t crítico</t>
        </is>
      </c>
      <c r="L10" s="5" t="inlineStr">
        <is>
          <t>IC inferior</t>
        </is>
      </c>
      <c r="M10" s="5" t="inlineStr">
        <is>
          <t>IC superior</t>
        </is>
      </c>
      <c r="N10" s="5" t="inlineStr">
        <is>
          <t>Conclusión</t>
        </is>
      </c>
    </row>
    <row r="11">
      <c r="A11" s="6" t="inlineStr">
        <is>
          <t>Pasajeros generados</t>
        </is>
      </c>
      <c r="B11" s="6" t="inlineStr">
        <is>
          <t>Control</t>
        </is>
      </c>
      <c r="C11" s="6" t="inlineStr">
        <is>
          <t>Igual</t>
        </is>
      </c>
      <c r="D11" s="6" t="inlineStr">
        <is>
          <t>pasajeros</t>
        </is>
      </c>
      <c r="E11" s="6">
        <f>COUNT(Corridas!$E$8:$E$67)</f>
        <v/>
      </c>
      <c r="F11" s="6">
        <f>IF(E11=0,"",AVERAGE(Corridas!$C$8:$C$67))</f>
        <v/>
      </c>
      <c r="G11" s="6">
        <f>IF(E11=0,"",AVERAGE(Corridas!$D$8:$D$67))</f>
        <v/>
      </c>
      <c r="H11" s="6">
        <f>IF(E11=0,"",AVERAGE(Corridas!$E$8:$E$67))</f>
        <v/>
      </c>
      <c r="I11" s="6">
        <f>IF(E11&lt;2,"",_xlfn.STDEV.S(Corridas!$E$8:$E$67))</f>
        <v/>
      </c>
      <c r="J11" s="7">
        <f>IF(E11&lt;2,"",I11/SQRT(E11))</f>
        <v/>
      </c>
      <c r="K11" s="7">
        <f>IF(E11&lt;10,"",_xlfn.T.INV.2T(IF(B11="Primaria",$B$8,1-$B$6),E11-1))</f>
        <v/>
      </c>
      <c r="L11" s="7">
        <f>IF(E11&lt;10,"",H11-K11*J11)</f>
        <v/>
      </c>
      <c r="M11" s="7">
        <f>IF(E11&lt;10,"",H11+K11*J11)</f>
        <v/>
      </c>
      <c r="N11" s="6">
        <f>IF(E11&lt;10,"Pendiente",IF(C11="Igual",IF(AND(L11&lt;=0,M11&gt;=0),"Compatible con igualdad","Diferencia detectada"),IF(C11="Mayor",IF(L11&gt;0,"Mejora concluyente",IF(M11&lt;0,"Empeora concluyentemente","Sin evidencia suficiente")),IF(M11&lt;0,"Mejora concluyente",IF(L11&gt;0,"Empeora concluyentemente","Sin evidencia suficiente")))))</f>
        <v/>
      </c>
    </row>
    <row r="12">
      <c r="A12" s="6" t="inlineStr">
        <is>
          <t>Pasajeros desviados</t>
        </is>
      </c>
      <c r="B12" s="6" t="inlineStr">
        <is>
          <t>Control</t>
        </is>
      </c>
      <c r="C12" s="6" t="inlineStr">
        <is>
          <t>Igual</t>
        </is>
      </c>
      <c r="D12" s="6" t="inlineStr">
        <is>
          <t>pasajeros</t>
        </is>
      </c>
      <c r="E12" s="6">
        <f>COUNT(Corridas!$H$8:$H$67)</f>
        <v/>
      </c>
      <c r="F12" s="6">
        <f>IF(E12=0,"",AVERAGE(Corridas!$F$8:$F$67))</f>
        <v/>
      </c>
      <c r="G12" s="6">
        <f>IF(E12=0,"",AVERAGE(Corridas!$G$8:$G$67))</f>
        <v/>
      </c>
      <c r="H12" s="6">
        <f>IF(E12=0,"",AVERAGE(Corridas!$H$8:$H$67))</f>
        <v/>
      </c>
      <c r="I12" s="6">
        <f>IF(E12&lt;2,"",_xlfn.STDEV.S(Corridas!$H$8:$H$67))</f>
        <v/>
      </c>
      <c r="J12" s="7">
        <f>IF(E12&lt;2,"",I12/SQRT(E12))</f>
        <v/>
      </c>
      <c r="K12" s="7">
        <f>IF(E12&lt;10,"",_xlfn.T.INV.2T(IF(B12="Primaria",$B$8,1-$B$6),E12-1))</f>
        <v/>
      </c>
      <c r="L12" s="7">
        <f>IF(E12&lt;10,"",H12-K12*J12)</f>
        <v/>
      </c>
      <c r="M12" s="7">
        <f>IF(E12&lt;10,"",H12+K12*J12)</f>
        <v/>
      </c>
      <c r="N12" s="6">
        <f>IF(E12&lt;10,"Pendiente",IF(C12="Igual",IF(AND(L12&lt;=0,M12&gt;=0),"Compatible con igualdad","Diferencia detectada"),IF(C12="Mayor",IF(L12&gt;0,"Mejora concluyente",IF(M12&lt;0,"Empeora concluyentemente","Sin evidencia suficiente")),IF(M12&lt;0,"Mejora concluyente",IF(L12&gt;0,"Empeora concluyentemente","Sin evidencia suficiente")))))</f>
        <v/>
      </c>
    </row>
    <row r="13">
      <c r="A13" s="6" t="inlineStr">
        <is>
          <t>Procesados a las 09:30</t>
        </is>
      </c>
      <c r="B13" s="6" t="inlineStr">
        <is>
          <t>Control</t>
        </is>
      </c>
      <c r="C13" s="6" t="inlineStr">
        <is>
          <t>Mayor</t>
        </is>
      </c>
      <c r="D13" s="6" t="inlineStr">
        <is>
          <t>pasajeros</t>
        </is>
      </c>
      <c r="E13" s="6">
        <f>COUNT(Corridas!$K$8:$K$67)</f>
        <v/>
      </c>
      <c r="F13" s="6">
        <f>IF(E13=0,"",AVERAGE(Corridas!$I$8:$I$67))</f>
        <v/>
      </c>
      <c r="G13" s="6">
        <f>IF(E13=0,"",AVERAGE(Corridas!$J$8:$J$67))</f>
        <v/>
      </c>
      <c r="H13" s="6">
        <f>IF(E13=0,"",AVERAGE(Corridas!$K$8:$K$67))</f>
        <v/>
      </c>
      <c r="I13" s="6">
        <f>IF(E13&lt;2,"",_xlfn.STDEV.S(Corridas!$K$8:$K$67))</f>
        <v/>
      </c>
      <c r="J13" s="7">
        <f>IF(E13&lt;2,"",I13/SQRT(E13))</f>
        <v/>
      </c>
      <c r="K13" s="7">
        <f>IF(E13&lt;10,"",_xlfn.T.INV.2T(IF(B13="Primaria",$B$8,1-$B$6),E13-1))</f>
        <v/>
      </c>
      <c r="L13" s="7">
        <f>IF(E13&lt;10,"",H13-K13*J13)</f>
        <v/>
      </c>
      <c r="M13" s="7">
        <f>IF(E13&lt;10,"",H13+K13*J13)</f>
        <v/>
      </c>
      <c r="N13" s="6">
        <f>IF(E13&lt;10,"Pendiente",IF(C13="Igual",IF(AND(L13&lt;=0,M13&gt;=0),"Compatible con igualdad","Diferencia detectada"),IF(C13="Mayor",IF(L13&gt;0,"Mejora concluyente",IF(M13&lt;0,"Empeora concluyentemente","Sin evidencia suficiente")),IF(M13&lt;0,"Mejora concluyente",IF(L13&gt;0,"Empeora concluyentemente","Sin evidencia suficiente")))))</f>
        <v/>
      </c>
    </row>
    <row r="14">
      <c r="A14" s="6" t="inlineStr">
        <is>
          <t>Procesados con drenaje</t>
        </is>
      </c>
      <c r="B14" s="6" t="inlineStr">
        <is>
          <t>Control</t>
        </is>
      </c>
      <c r="C14" s="6" t="inlineStr">
        <is>
          <t>Mayor</t>
        </is>
      </c>
      <c r="D14" s="6" t="inlineStr">
        <is>
          <t>pasajeros</t>
        </is>
      </c>
      <c r="E14" s="6">
        <f>COUNT(Corridas!$N$8:$N$67)</f>
        <v/>
      </c>
      <c r="F14" s="6">
        <f>IF(E14=0,"",AVERAGE(Corridas!$L$8:$L$67))</f>
        <v/>
      </c>
      <c r="G14" s="6">
        <f>IF(E14=0,"",AVERAGE(Corridas!$M$8:$M$67))</f>
        <v/>
      </c>
      <c r="H14" s="6">
        <f>IF(E14=0,"",AVERAGE(Corridas!$N$8:$N$67))</f>
        <v/>
      </c>
      <c r="I14" s="6">
        <f>IF(E14&lt;2,"",_xlfn.STDEV.S(Corridas!$N$8:$N$67))</f>
        <v/>
      </c>
      <c r="J14" s="7">
        <f>IF(E14&lt;2,"",I14/SQRT(E14))</f>
        <v/>
      </c>
      <c r="K14" s="7">
        <f>IF(E14&lt;10,"",_xlfn.T.INV.2T(IF(B14="Primaria",$B$8,1-$B$6),E14-1))</f>
        <v/>
      </c>
      <c r="L14" s="7">
        <f>IF(E14&lt;10,"",H14-K14*J14)</f>
        <v/>
      </c>
      <c r="M14" s="7">
        <f>IF(E14&lt;10,"",H14+K14*J14)</f>
        <v/>
      </c>
      <c r="N14" s="6">
        <f>IF(E14&lt;10,"Pendiente",IF(C14="Igual",IF(AND(L14&lt;=0,M14&gt;=0),"Compatible con igualdad","Diferencia detectada"),IF(C14="Mayor",IF(L14&gt;0,"Mejora concluyente",IF(M14&lt;0,"Empeora concluyentemente","Sin evidencia suficiente")),IF(M14&lt;0,"Mejora concluyente",IF(L14&gt;0,"Empeora concluyentemente","Sin evidencia suficiente")))))</f>
        <v/>
      </c>
    </row>
    <row r="15">
      <c r="A15" s="6" t="inlineStr">
        <is>
          <t>Espera media</t>
        </is>
      </c>
      <c r="B15" s="6" t="inlineStr">
        <is>
          <t>Secundaria</t>
        </is>
      </c>
      <c r="C15" s="6" t="inlineStr">
        <is>
          <t>Menor</t>
        </is>
      </c>
      <c r="D15" s="6" t="inlineStr">
        <is>
          <t>s</t>
        </is>
      </c>
      <c r="E15" s="6">
        <f>COUNT(Corridas!$Q$8:$Q$67)</f>
        <v/>
      </c>
      <c r="F15" s="6">
        <f>IF(E15=0,"",AVERAGE(Corridas!$O$8:$O$67))</f>
        <v/>
      </c>
      <c r="G15" s="6">
        <f>IF(E15=0,"",AVERAGE(Corridas!$P$8:$P$67))</f>
        <v/>
      </c>
      <c r="H15" s="6">
        <f>IF(E15=0,"",AVERAGE(Corridas!$Q$8:$Q$67))</f>
        <v/>
      </c>
      <c r="I15" s="6">
        <f>IF(E15&lt;2,"",_xlfn.STDEV.S(Corridas!$Q$8:$Q$67))</f>
        <v/>
      </c>
      <c r="J15" s="7">
        <f>IF(E15&lt;2,"",I15/SQRT(E15))</f>
        <v/>
      </c>
      <c r="K15" s="7">
        <f>IF(E15&lt;10,"",_xlfn.T.INV.2T(IF(B15="Primaria",$B$8,1-$B$6),E15-1))</f>
        <v/>
      </c>
      <c r="L15" s="7">
        <f>IF(E15&lt;10,"",H15-K15*J15)</f>
        <v/>
      </c>
      <c r="M15" s="7">
        <f>IF(E15&lt;10,"",H15+K15*J15)</f>
        <v/>
      </c>
      <c r="N15" s="6">
        <f>IF(E15&lt;10,"Pendiente",IF(C15="Igual",IF(AND(L15&lt;=0,M15&gt;=0),"Compatible con igualdad","Diferencia detectada"),IF(C15="Mayor",IF(L15&gt;0,"Mejora concluyente",IF(M15&lt;0,"Empeora concluyentemente","Sin evidencia suficiente")),IF(M15&lt;0,"Mejora concluyente",IF(L15&gt;0,"Empeora concluyentemente","Sin evidencia suficiente")))))</f>
        <v/>
      </c>
    </row>
    <row r="16">
      <c r="A16" s="6" t="inlineStr">
        <is>
          <t>P90 de espera</t>
        </is>
      </c>
      <c r="B16" s="6" t="inlineStr">
        <is>
          <t>Primaria</t>
        </is>
      </c>
      <c r="C16" s="6" t="inlineStr">
        <is>
          <t>Menor</t>
        </is>
      </c>
      <c r="D16" s="6" t="inlineStr">
        <is>
          <t>s</t>
        </is>
      </c>
      <c r="E16" s="6">
        <f>COUNT(Corridas!$T$8:$T$67)</f>
        <v/>
      </c>
      <c r="F16" s="6">
        <f>IF(E16=0,"",AVERAGE(Corridas!$R$8:$R$67))</f>
        <v/>
      </c>
      <c r="G16" s="6">
        <f>IF(E16=0,"",AVERAGE(Corridas!$S$8:$S$67))</f>
        <v/>
      </c>
      <c r="H16" s="6">
        <f>IF(E16=0,"",AVERAGE(Corridas!$T$8:$T$67))</f>
        <v/>
      </c>
      <c r="I16" s="6">
        <f>IF(E16&lt;2,"",_xlfn.STDEV.S(Corridas!$T$8:$T$67))</f>
        <v/>
      </c>
      <c r="J16" s="7">
        <f>IF(E16&lt;2,"",I16/SQRT(E16))</f>
        <v/>
      </c>
      <c r="K16" s="7">
        <f>IF(E16&lt;10,"",_xlfn.T.INV.2T(IF(B16="Primaria",$B$8,1-$B$6),E16-1))</f>
        <v/>
      </c>
      <c r="L16" s="7">
        <f>IF(E16&lt;10,"",H16-K16*J16)</f>
        <v/>
      </c>
      <c r="M16" s="7">
        <f>IF(E16&lt;10,"",H16+K16*J16)</f>
        <v/>
      </c>
      <c r="N16" s="6">
        <f>IF(E16&lt;10,"Pendiente",IF(C16="Igual",IF(AND(L16&lt;=0,M16&gt;=0),"Compatible con igualdad","Diferencia detectada"),IF(C16="Mayor",IF(L16&gt;0,"Mejora concluyente",IF(M16&lt;0,"Empeora concluyentemente","Sin evidencia suficiente")),IF(M16&lt;0,"Mejora concluyente",IF(L16&gt;0,"Empeora concluyentemente","Sin evidencia suficiente")))))</f>
        <v/>
      </c>
    </row>
    <row r="17">
      <c r="A17" s="6" t="inlineStr">
        <is>
          <t>Proporción con espera mayor a 30 s</t>
        </is>
      </c>
      <c r="B17" s="6" t="inlineStr">
        <is>
          <t>Primaria</t>
        </is>
      </c>
      <c r="C17" s="6" t="inlineStr">
        <is>
          <t>Menor</t>
        </is>
      </c>
      <c r="D17" s="6" t="inlineStr">
        <is>
          <t>%</t>
        </is>
      </c>
      <c r="E17" s="6">
        <f>COUNT(Corridas!$W$8:$W$67)</f>
        <v/>
      </c>
      <c r="F17" s="6">
        <f>IF(E17=0,"",AVERAGE(Corridas!$U$8:$U$67))</f>
        <v/>
      </c>
      <c r="G17" s="6">
        <f>IF(E17=0,"",AVERAGE(Corridas!$V$8:$V$67))</f>
        <v/>
      </c>
      <c r="H17" s="6">
        <f>IF(E17=0,"",AVERAGE(Corridas!$W$8:$W$67))</f>
        <v/>
      </c>
      <c r="I17" s="6">
        <f>IF(E17&lt;2,"",_xlfn.STDEV.S(Corridas!$W$8:$W$67))</f>
        <v/>
      </c>
      <c r="J17" s="7">
        <f>IF(E17&lt;2,"",I17/SQRT(E17))</f>
        <v/>
      </c>
      <c r="K17" s="7">
        <f>IF(E17&lt;10,"",_xlfn.T.INV.2T(IF(B17="Primaria",$B$8,1-$B$6),E17-1))</f>
        <v/>
      </c>
      <c r="L17" s="7">
        <f>IF(E17&lt;10,"",H17-K17*J17)</f>
        <v/>
      </c>
      <c r="M17" s="7">
        <f>IF(E17&lt;10,"",H17+K17*J17)</f>
        <v/>
      </c>
      <c r="N17" s="6">
        <f>IF(E17&lt;10,"Pendiente",IF(C17="Igual",IF(AND(L17&lt;=0,M17&gt;=0),"Compatible con igualdad","Diferencia detectada"),IF(C17="Mayor",IF(L17&gt;0,"Mejora concluyente",IF(M17&lt;0,"Empeora concluyentemente","Sin evidencia suficiente")),IF(M17&lt;0,"Mejora concluyente",IF(L17&gt;0,"Empeora concluyentemente","Sin evidencia suficiente")))))</f>
        <v/>
      </c>
    </row>
    <row r="18">
      <c r="A18" s="6" t="inlineStr">
        <is>
          <t>Lq</t>
        </is>
      </c>
      <c r="B18" s="6" t="inlineStr">
        <is>
          <t>Secundaria</t>
        </is>
      </c>
      <c r="C18" s="6" t="inlineStr">
        <is>
          <t>Menor</t>
        </is>
      </c>
      <c r="D18" s="6" t="inlineStr">
        <is>
          <t>pasajeros</t>
        </is>
      </c>
      <c r="E18" s="6">
        <f>COUNT(Corridas!$Z$8:$Z$67)</f>
        <v/>
      </c>
      <c r="F18" s="6">
        <f>IF(E18=0,"",AVERAGE(Corridas!$X$8:$X$67))</f>
        <v/>
      </c>
      <c r="G18" s="6">
        <f>IF(E18=0,"",AVERAGE(Corridas!$Y$8:$Y$67))</f>
        <v/>
      </c>
      <c r="H18" s="6">
        <f>IF(E18=0,"",AVERAGE(Corridas!$Z$8:$Z$67))</f>
        <v/>
      </c>
      <c r="I18" s="6">
        <f>IF(E18&lt;2,"",_xlfn.STDEV.S(Corridas!$Z$8:$Z$67))</f>
        <v/>
      </c>
      <c r="J18" s="7">
        <f>IF(E18&lt;2,"",I18/SQRT(E18))</f>
        <v/>
      </c>
      <c r="K18" s="7">
        <f>IF(E18&lt;10,"",_xlfn.T.INV.2T(IF(B18="Primaria",$B$8,1-$B$6),E18-1))</f>
        <v/>
      </c>
      <c r="L18" s="7">
        <f>IF(E18&lt;10,"",H18-K18*J18)</f>
        <v/>
      </c>
      <c r="M18" s="7">
        <f>IF(E18&lt;10,"",H18+K18*J18)</f>
        <v/>
      </c>
      <c r="N18" s="6">
        <f>IF(E18&lt;10,"Pendiente",IF(C18="Igual",IF(AND(L18&lt;=0,M18&gt;=0),"Compatible con igualdad","Diferencia detectada"),IF(C18="Mayor",IF(L18&gt;0,"Mejora concluyente",IF(M18&lt;0,"Empeora concluyentemente","Sin evidencia suficiente")),IF(M18&lt;0,"Mejora concluyente",IF(L18&gt;0,"Empeora concluyentemente","Sin evidencia suficiente")))))</f>
        <v/>
      </c>
    </row>
    <row r="19">
      <c r="A19" s="6" t="inlineStr">
        <is>
          <t>Cola máxima</t>
        </is>
      </c>
      <c r="B19" s="6" t="inlineStr">
        <is>
          <t>Secundaria</t>
        </is>
      </c>
      <c r="C19" s="6" t="inlineStr">
        <is>
          <t>Menor</t>
        </is>
      </c>
      <c r="D19" s="6" t="inlineStr">
        <is>
          <t>pasajeros</t>
        </is>
      </c>
      <c r="E19" s="6">
        <f>COUNT(Corridas!$AC$8:$AC$67)</f>
        <v/>
      </c>
      <c r="F19" s="6">
        <f>IF(E19=0,"",AVERAGE(Corridas!$AA$8:$AA$67))</f>
        <v/>
      </c>
      <c r="G19" s="6">
        <f>IF(E19=0,"",AVERAGE(Corridas!$AB$8:$AB$67))</f>
        <v/>
      </c>
      <c r="H19" s="6">
        <f>IF(E19=0,"",AVERAGE(Corridas!$AC$8:$AC$67))</f>
        <v/>
      </c>
      <c r="I19" s="6">
        <f>IF(E19&lt;2,"",_xlfn.STDEV.S(Corridas!$AC$8:$AC$67))</f>
        <v/>
      </c>
      <c r="J19" s="7">
        <f>IF(E19&lt;2,"",I19/SQRT(E19))</f>
        <v/>
      </c>
      <c r="K19" s="7">
        <f>IF(E19&lt;10,"",_xlfn.T.INV.2T(IF(B19="Primaria",$B$8,1-$B$6),E19-1))</f>
        <v/>
      </c>
      <c r="L19" s="7">
        <f>IF(E19&lt;10,"",H19-K19*J19)</f>
        <v/>
      </c>
      <c r="M19" s="7">
        <f>IF(E19&lt;10,"",H19+K19*J19)</f>
        <v/>
      </c>
      <c r="N19" s="6">
        <f>IF(E19&lt;10,"Pendiente",IF(C19="Igual",IF(AND(L19&lt;=0,M19&gt;=0),"Compatible con igualdad","Diferencia detectada"),IF(C19="Mayor",IF(L19&gt;0,"Mejora concluyente",IF(M19&lt;0,"Empeora concluyentemente","Sin evidencia suficiente")),IF(M19&lt;0,"Mejora concluyente",IF(L19&gt;0,"Empeora concluyentemente","Sin evidencia suficiente")))))</f>
        <v/>
      </c>
    </row>
    <row r="20">
      <c r="A20" s="6" t="inlineStr">
        <is>
          <t>Tiempo de drenaje final</t>
        </is>
      </c>
      <c r="B20" s="6" t="inlineStr">
        <is>
          <t>Secundaria</t>
        </is>
      </c>
      <c r="C20" s="6" t="inlineStr">
        <is>
          <t>Menor</t>
        </is>
      </c>
      <c r="D20" s="6" t="inlineStr">
        <is>
          <t>s</t>
        </is>
      </c>
      <c r="E20" s="6">
        <f>COUNT(Corridas!$AF$8:$AF$67)</f>
        <v/>
      </c>
      <c r="F20" s="6">
        <f>IF(E20=0,"",AVERAGE(Corridas!$AD$8:$AD$67))</f>
        <v/>
      </c>
      <c r="G20" s="6">
        <f>IF(E20=0,"",AVERAGE(Corridas!$AE$8:$AE$67))</f>
        <v/>
      </c>
      <c r="H20" s="6">
        <f>IF(E20=0,"",AVERAGE(Corridas!$AF$8:$AF$67))</f>
        <v/>
      </c>
      <c r="I20" s="6">
        <f>IF(E20&lt;2,"",_xlfn.STDEV.S(Corridas!$AF$8:$AF$67))</f>
        <v/>
      </c>
      <c r="J20" s="7">
        <f>IF(E20&lt;2,"",I20/SQRT(E20))</f>
        <v/>
      </c>
      <c r="K20" s="7">
        <f>IF(E20&lt;10,"",_xlfn.T.INV.2T(IF(B20="Primaria",$B$8,1-$B$6),E20-1))</f>
        <v/>
      </c>
      <c r="L20" s="7">
        <f>IF(E20&lt;10,"",H20-K20*J20)</f>
        <v/>
      </c>
      <c r="M20" s="7">
        <f>IF(E20&lt;10,"",H20+K20*J20)</f>
        <v/>
      </c>
      <c r="N20" s="6">
        <f>IF(E20&lt;10,"Pendiente",IF(C20="Igual",IF(AND(L20&lt;=0,M20&gt;=0),"Compatible con igualdad","Diferencia detectada"),IF(C20="Mayor",IF(L20&gt;0,"Mejora concluyente",IF(M20&lt;0,"Empeora concluyentemente","Sin evidencia suficiente")),IF(M20&lt;0,"Mejora concluyente",IF(L20&gt;0,"Empeora concluyentemente","Sin evidencia suficiente")))))</f>
        <v/>
      </c>
    </row>
    <row r="21">
      <c r="A21" s="6" t="inlineStr">
        <is>
          <t>Utilización media</t>
        </is>
      </c>
      <c r="B21" s="6" t="inlineStr">
        <is>
          <t>Secundaria</t>
        </is>
      </c>
      <c r="C21" s="6" t="inlineStr">
        <is>
          <t>Menor</t>
        </is>
      </c>
      <c r="D21" s="6" t="inlineStr">
        <is>
          <t>%</t>
        </is>
      </c>
      <c r="E21" s="6">
        <f>COUNT(Corridas!$AI$8:$AI$67)</f>
        <v/>
      </c>
      <c r="F21" s="6">
        <f>IF(E21=0,"",AVERAGE(Corridas!$AG$8:$AG$67))</f>
        <v/>
      </c>
      <c r="G21" s="6">
        <f>IF(E21=0,"",AVERAGE(Corridas!$AH$8:$AH$67))</f>
        <v/>
      </c>
      <c r="H21" s="6">
        <f>IF(E21=0,"",AVERAGE(Corridas!$AI$8:$AI$67))</f>
        <v/>
      </c>
      <c r="I21" s="6">
        <f>IF(E21&lt;2,"",_xlfn.STDEV.S(Corridas!$AI$8:$AI$67))</f>
        <v/>
      </c>
      <c r="J21" s="7">
        <f>IF(E21&lt;2,"",I21/SQRT(E21))</f>
        <v/>
      </c>
      <c r="K21" s="7">
        <f>IF(E21&lt;10,"",_xlfn.T.INV.2T(IF(B21="Primaria",$B$8,1-$B$6),E21-1))</f>
        <v/>
      </c>
      <c r="L21" s="7">
        <f>IF(E21&lt;10,"",H21-K21*J21)</f>
        <v/>
      </c>
      <c r="M21" s="7">
        <f>IF(E21&lt;10,"",H21+K21*J21)</f>
        <v/>
      </c>
      <c r="N21" s="6">
        <f>IF(E21&lt;10,"Pendiente",IF(C21="Igual",IF(AND(L21&lt;=0,M21&gt;=0),"Compatible con igualdad","Diferencia detectada"),IF(C21="Mayor",IF(L21&gt;0,"Mejora concluyente",IF(M21&lt;0,"Empeora concluyentemente","Sin evidencia suficiente")),IF(M21&lt;0,"Mejora concluyente",IF(L21&gt;0,"Empeora concluyentemente","Sin evidencia suficiente")))))</f>
        <v/>
      </c>
    </row>
    <row r="22">
      <c r="A22" s="6" t="inlineStr">
        <is>
          <t>Dispersión de utilización</t>
        </is>
      </c>
      <c r="B22" s="6" t="inlineStr">
        <is>
          <t>Secundaria</t>
        </is>
      </c>
      <c r="C22" s="6" t="inlineStr">
        <is>
          <t>Menor</t>
        </is>
      </c>
      <c r="D22" s="6" t="inlineStr">
        <is>
          <t>% (p.p.)</t>
        </is>
      </c>
      <c r="E22" s="6">
        <f>COUNT(Corridas!$AL$8:$AL$67)</f>
        <v/>
      </c>
      <c r="F22" s="6">
        <f>IF(E22=0,"",AVERAGE(Corridas!$AJ$8:$AJ$67))</f>
        <v/>
      </c>
      <c r="G22" s="6">
        <f>IF(E22=0,"",AVERAGE(Corridas!$AK$8:$AK$67))</f>
        <v/>
      </c>
      <c r="H22" s="6">
        <f>IF(E22=0,"",AVERAGE(Corridas!$AL$8:$AL$67))</f>
        <v/>
      </c>
      <c r="I22" s="6">
        <f>IF(E22&lt;2,"",_xlfn.STDEV.S(Corridas!$AL$8:$AL$67))</f>
        <v/>
      </c>
      <c r="J22" s="7">
        <f>IF(E22&lt;2,"",I22/SQRT(E22))</f>
        <v/>
      </c>
      <c r="K22" s="7">
        <f>IF(E22&lt;10,"",_xlfn.T.INV.2T(IF(B22="Primaria",$B$8,1-$B$6),E22-1))</f>
        <v/>
      </c>
      <c r="L22" s="7">
        <f>IF(E22&lt;10,"",H22-K22*J22)</f>
        <v/>
      </c>
      <c r="M22" s="7">
        <f>IF(E22&lt;10,"",H22+K22*J22)</f>
        <v/>
      </c>
      <c r="N22" s="6">
        <f>IF(E22&lt;10,"Pendiente",IF(C22="Igual",IF(AND(L22&lt;=0,M22&gt;=0),"Compatible con igualdad","Diferencia detectada"),IF(C22="Mayor",IF(L22&gt;0,"Mejora concluyente",IF(M22&lt;0,"Empeora concluyentemente","Sin evidencia suficiente")),IF(M22&lt;0,"Mejora concluyente",IF(L22&gt;0,"Empeora concluyentemente","Sin evidencia suficiente")))))</f>
        <v/>
      </c>
    </row>
    <row r="23">
      <c r="A23" s="6" t="inlineStr">
        <is>
          <t>Pasajeros de la cohorte pico</t>
        </is>
      </c>
      <c r="B23" s="6" t="inlineStr">
        <is>
          <t>Secundaria</t>
        </is>
      </c>
      <c r="C23" s="6" t="inlineStr">
        <is>
          <t>Igual</t>
        </is>
      </c>
      <c r="D23" s="6" t="inlineStr">
        <is>
          <t>pasajeros</t>
        </is>
      </c>
      <c r="E23" s="6">
        <f>COUNT(Corridas!$AO$8:$AO$67)</f>
        <v/>
      </c>
      <c r="F23" s="6">
        <f>IF(E23=0,"",AVERAGE(Corridas!$AM$8:$AM$67))</f>
        <v/>
      </c>
      <c r="G23" s="6">
        <f>IF(E23=0,"",AVERAGE(Corridas!$AN$8:$AN$67))</f>
        <v/>
      </c>
      <c r="H23" s="6">
        <f>IF(E23=0,"",AVERAGE(Corridas!$AO$8:$AO$67))</f>
        <v/>
      </c>
      <c r="I23" s="6">
        <f>IF(E23&lt;2,"",_xlfn.STDEV.S(Corridas!$AO$8:$AO$67))</f>
        <v/>
      </c>
      <c r="J23" s="7">
        <f>IF(E23&lt;2,"",I23/SQRT(E23))</f>
        <v/>
      </c>
      <c r="K23" s="7">
        <f>IF(E23&lt;10,"",_xlfn.T.INV.2T(IF(B23="Primaria",$B$8,1-$B$6),E23-1))</f>
        <v/>
      </c>
      <c r="L23" s="7">
        <f>IF(E23&lt;10,"",H23-K23*J23)</f>
        <v/>
      </c>
      <c r="M23" s="7">
        <f>IF(E23&lt;10,"",H23+K23*J23)</f>
        <v/>
      </c>
      <c r="N23" s="6">
        <f>IF(E23&lt;10,"Pendiente",IF(C23="Igual",IF(AND(L23&lt;=0,M23&gt;=0),"Compatible con igualdad","Diferencia detectada"),IF(C23="Mayor",IF(L23&gt;0,"Mejora concluyente",IF(M23&lt;0,"Empeora concluyentemente","Sin evidencia suficiente")),IF(M23&lt;0,"Mejora concluyente",IF(L23&gt;0,"Empeora concluyentemente","Sin evidencia suficiente")))))</f>
        <v/>
      </c>
    </row>
    <row r="24">
      <c r="A24" s="6" t="inlineStr">
        <is>
          <t>Espera media de la cohorte pico</t>
        </is>
      </c>
      <c r="B24" s="6" t="inlineStr">
        <is>
          <t>Secundaria</t>
        </is>
      </c>
      <c r="C24" s="6" t="inlineStr">
        <is>
          <t>Menor</t>
        </is>
      </c>
      <c r="D24" s="6" t="inlineStr">
        <is>
          <t>s</t>
        </is>
      </c>
      <c r="E24" s="6">
        <f>COUNT(Corridas!$AR$8:$AR$67)</f>
        <v/>
      </c>
      <c r="F24" s="6">
        <f>IF(E24=0,"",AVERAGE(Corridas!$AP$8:$AP$67))</f>
        <v/>
      </c>
      <c r="G24" s="6">
        <f>IF(E24=0,"",AVERAGE(Corridas!$AQ$8:$AQ$67))</f>
        <v/>
      </c>
      <c r="H24" s="6">
        <f>IF(E24=0,"",AVERAGE(Corridas!$AR$8:$AR$67))</f>
        <v/>
      </c>
      <c r="I24" s="6">
        <f>IF(E24&lt;2,"",_xlfn.STDEV.S(Corridas!$AR$8:$AR$67))</f>
        <v/>
      </c>
      <c r="J24" s="7">
        <f>IF(E24&lt;2,"",I24/SQRT(E24))</f>
        <v/>
      </c>
      <c r="K24" s="7">
        <f>IF(E24&lt;10,"",_xlfn.T.INV.2T(IF(B24="Primaria",$B$8,1-$B$6),E24-1))</f>
        <v/>
      </c>
      <c r="L24" s="7">
        <f>IF(E24&lt;10,"",H24-K24*J24)</f>
        <v/>
      </c>
      <c r="M24" s="7">
        <f>IF(E24&lt;10,"",H24+K24*J24)</f>
        <v/>
      </c>
      <c r="N24" s="6">
        <f>IF(E24&lt;10,"Pendiente",IF(C24="Igual",IF(AND(L24&lt;=0,M24&gt;=0),"Compatible con igualdad","Diferencia detectada"),IF(C24="Mayor",IF(L24&gt;0,"Mejora concluyente",IF(M24&lt;0,"Empeora concluyentemente","Sin evidencia suficiente")),IF(M24&lt;0,"Mejora concluyente",IF(L24&gt;0,"Empeora concluyentemente","Sin evidencia suficiente")))))</f>
        <v/>
      </c>
    </row>
    <row r="25">
      <c r="A25" s="6" t="inlineStr">
        <is>
          <t>P90 de la cohorte pico</t>
        </is>
      </c>
      <c r="B25" s="6" t="inlineStr">
        <is>
          <t>Primaria</t>
        </is>
      </c>
      <c r="C25" s="6" t="inlineStr">
        <is>
          <t>Menor</t>
        </is>
      </c>
      <c r="D25" s="6" t="inlineStr">
        <is>
          <t>s</t>
        </is>
      </c>
      <c r="E25" s="6">
        <f>COUNT(Corridas!$AU$8:$AU$67)</f>
        <v/>
      </c>
      <c r="F25" s="6">
        <f>IF(E25=0,"",AVERAGE(Corridas!$AS$8:$AS$67))</f>
        <v/>
      </c>
      <c r="G25" s="6">
        <f>IF(E25=0,"",AVERAGE(Corridas!$AT$8:$AT$67))</f>
        <v/>
      </c>
      <c r="H25" s="6">
        <f>IF(E25=0,"",AVERAGE(Corridas!$AU$8:$AU$67))</f>
        <v/>
      </c>
      <c r="I25" s="6">
        <f>IF(E25&lt;2,"",_xlfn.STDEV.S(Corridas!$AU$8:$AU$67))</f>
        <v/>
      </c>
      <c r="J25" s="7">
        <f>IF(E25&lt;2,"",I25/SQRT(E25))</f>
        <v/>
      </c>
      <c r="K25" s="7">
        <f>IF(E25&lt;10,"",_xlfn.T.INV.2T(IF(B25="Primaria",$B$8,1-$B$6),E25-1))</f>
        <v/>
      </c>
      <c r="L25" s="7">
        <f>IF(E25&lt;10,"",H25-K25*J25)</f>
        <v/>
      </c>
      <c r="M25" s="7">
        <f>IF(E25&lt;10,"",H25+K25*J25)</f>
        <v/>
      </c>
      <c r="N25" s="6">
        <f>IF(E25&lt;10,"Pendiente",IF(C25="Igual",IF(AND(L25&lt;=0,M25&gt;=0),"Compatible con igualdad","Diferencia detectada"),IF(C25="Mayor",IF(L25&gt;0,"Mejora concluyente",IF(M25&lt;0,"Empeora concluyentemente","Sin evidencia suficiente")),IF(M25&lt;0,"Mejora concluyente",IF(L25&gt;0,"Empeora concluyentemente","Sin evidencia suficiente")))))</f>
        <v/>
      </c>
    </row>
  </sheetData>
  <conditionalFormatting sqref="B11:B25">
    <cfRule type="cellIs" priority="1" operator="equal" dxfId="0" stopIfTrue="0">
      <formula>"Primaria"</formula>
    </cfRule>
  </conditionalFormatting>
  <conditionalFormatting sqref="N11:N25">
    <cfRule type="cellIs" priority="2" operator="equal" dxfId="1" stopIfTrue="0">
      <formula>"Pendiente"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2:AU68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2">
      <c r="A2" s="1" t="inlineStr">
        <is>
          <t>Corridas apareadas E0-E1</t>
        </is>
      </c>
    </row>
    <row r="3">
      <c r="A3" s="2" t="inlineStr">
        <is>
          <t>Cargar únicamente resultados de producción calibrados. Las columnas amarillas son entradas; las grises se calculan.</t>
        </is>
      </c>
    </row>
    <row r="4">
      <c r="A4" s="2" t="inlineStr">
        <is>
          <t>La misma fila debe usar la misma semilla y las mismas entradas aleatorias en E0 y E1.</t>
        </is>
      </c>
    </row>
    <row r="5">
      <c r="A5" s="2" t="inlineStr">
        <is>
          <t>Carga reproducible: python3 cargar_corridas.py corridas_peatonales.csv --escribir (valida pares, semillas y conservación antes de escribir).</t>
        </is>
      </c>
    </row>
    <row r="6">
      <c r="A6" s="2" t="inlineStr">
        <is>
          <t>n de pares variable (T1.5): esta hoja admite hasta 60 pares con semillas contiguas desde 20260923. El análisis (hoja Resumen) se habilita desde n = 10 pares cargados.</t>
        </is>
      </c>
    </row>
    <row r="7" ht="52" customHeight="1">
      <c r="A7" s="5" t="inlineStr">
        <is>
          <t>Réplica</t>
        </is>
      </c>
      <c r="B7" s="5" t="inlineStr">
        <is>
          <t>Semilla</t>
        </is>
      </c>
      <c r="C7" s="5" t="inlineStr">
        <is>
          <t>E0 Pasajeros generados</t>
        </is>
      </c>
      <c r="D7" s="5" t="inlineStr">
        <is>
          <t>E1 Pasajeros generados</t>
        </is>
      </c>
      <c r="E7" s="5" t="inlineStr">
        <is>
          <t>Diferencia Pasajeros generados</t>
        </is>
      </c>
      <c r="F7" s="5" t="inlineStr">
        <is>
          <t>E0 Pasajeros desviados</t>
        </is>
      </c>
      <c r="G7" s="5" t="inlineStr">
        <is>
          <t>E1 Pasajeros desviados</t>
        </is>
      </c>
      <c r="H7" s="5" t="inlineStr">
        <is>
          <t>Diferencia Pasajeros desviados</t>
        </is>
      </c>
      <c r="I7" s="5" t="inlineStr">
        <is>
          <t>E0 Procesados a las 09:30</t>
        </is>
      </c>
      <c r="J7" s="5" t="inlineStr">
        <is>
          <t>E1 Procesados a las 09:30</t>
        </is>
      </c>
      <c r="K7" s="5" t="inlineStr">
        <is>
          <t>Diferencia Procesados a las 09:30</t>
        </is>
      </c>
      <c r="L7" s="5" t="inlineStr">
        <is>
          <t>E0 Procesados con drenaje</t>
        </is>
      </c>
      <c r="M7" s="5" t="inlineStr">
        <is>
          <t>E1 Procesados con drenaje</t>
        </is>
      </c>
      <c r="N7" s="5" t="inlineStr">
        <is>
          <t>Diferencia Procesados con drenaje</t>
        </is>
      </c>
      <c r="O7" s="5" t="inlineStr">
        <is>
          <t>E0 Espera media</t>
        </is>
      </c>
      <c r="P7" s="5" t="inlineStr">
        <is>
          <t>E1 Espera media</t>
        </is>
      </c>
      <c r="Q7" s="5" t="inlineStr">
        <is>
          <t>Diferencia Espera media</t>
        </is>
      </c>
      <c r="R7" s="5" t="inlineStr">
        <is>
          <t>E0 P90 de espera</t>
        </is>
      </c>
      <c r="S7" s="5" t="inlineStr">
        <is>
          <t>E1 P90 de espera</t>
        </is>
      </c>
      <c r="T7" s="5" t="inlineStr">
        <is>
          <t>Diferencia P90 de espera</t>
        </is>
      </c>
      <c r="U7" s="5" t="inlineStr">
        <is>
          <t>E0 Proporción con espera mayor a 30 s</t>
        </is>
      </c>
      <c r="V7" s="5" t="inlineStr">
        <is>
          <t>E1 Proporción con espera mayor a 30 s</t>
        </is>
      </c>
      <c r="W7" s="5" t="inlineStr">
        <is>
          <t>Diferencia Proporción con espera mayor a 30 s</t>
        </is>
      </c>
      <c r="X7" s="5" t="inlineStr">
        <is>
          <t>E0 Lq</t>
        </is>
      </c>
      <c r="Y7" s="5" t="inlineStr">
        <is>
          <t>E1 Lq</t>
        </is>
      </c>
      <c r="Z7" s="5" t="inlineStr">
        <is>
          <t>Diferencia Lq</t>
        </is>
      </c>
      <c r="AA7" s="5" t="inlineStr">
        <is>
          <t>E0 Cola máxima</t>
        </is>
      </c>
      <c r="AB7" s="5" t="inlineStr">
        <is>
          <t>E1 Cola máxima</t>
        </is>
      </c>
      <c r="AC7" s="5" t="inlineStr">
        <is>
          <t>Diferencia Cola máxima</t>
        </is>
      </c>
      <c r="AD7" s="5" t="inlineStr">
        <is>
          <t>E0 Tiempo de drenaje final</t>
        </is>
      </c>
      <c r="AE7" s="5" t="inlineStr">
        <is>
          <t>E1 Tiempo de drenaje final</t>
        </is>
      </c>
      <c r="AF7" s="5" t="inlineStr">
        <is>
          <t>Diferencia Tiempo de drenaje final</t>
        </is>
      </c>
      <c r="AG7" s="5" t="inlineStr">
        <is>
          <t>E0 Utilización media</t>
        </is>
      </c>
      <c r="AH7" s="5" t="inlineStr">
        <is>
          <t>E1 Utilización media</t>
        </is>
      </c>
      <c r="AI7" s="5" t="inlineStr">
        <is>
          <t>Diferencia Utilización media</t>
        </is>
      </c>
      <c r="AJ7" s="5" t="inlineStr">
        <is>
          <t>E0 Dispersión de utilización</t>
        </is>
      </c>
      <c r="AK7" s="5" t="inlineStr">
        <is>
          <t>E1 Dispersión de utilización</t>
        </is>
      </c>
      <c r="AL7" s="5" t="inlineStr">
        <is>
          <t>Diferencia Dispersión de utilización</t>
        </is>
      </c>
      <c r="AM7" s="5" t="inlineStr">
        <is>
          <t>E0 Pasajeros de la cohorte pico</t>
        </is>
      </c>
      <c r="AN7" s="5" t="inlineStr">
        <is>
          <t>E1 Pasajeros de la cohorte pico</t>
        </is>
      </c>
      <c r="AO7" s="5" t="inlineStr">
        <is>
          <t>Diferencia Pasajeros de la cohorte pico</t>
        </is>
      </c>
      <c r="AP7" s="5" t="inlineStr">
        <is>
          <t>E0 Espera media de la cohorte pico</t>
        </is>
      </c>
      <c r="AQ7" s="5" t="inlineStr">
        <is>
          <t>E1 Espera media de la cohorte pico</t>
        </is>
      </c>
      <c r="AR7" s="5" t="inlineStr">
        <is>
          <t>Diferencia Espera media de la cohorte pico</t>
        </is>
      </c>
      <c r="AS7" s="5" t="inlineStr">
        <is>
          <t>E0 P90 de la cohorte pico</t>
        </is>
      </c>
      <c r="AT7" s="5" t="inlineStr">
        <is>
          <t>E1 P90 de la cohorte pico</t>
        </is>
      </c>
      <c r="AU7" s="5" t="inlineStr">
        <is>
          <t>Diferencia P90 de la cohorte pico</t>
        </is>
      </c>
    </row>
    <row r="8">
      <c r="A8" s="8" t="n">
        <v>1</v>
      </c>
      <c r="B8" s="9" t="n">
        <v>20260923</v>
      </c>
      <c r="C8" s="10" t="n">
        <v>18416</v>
      </c>
      <c r="D8" s="10" t="n">
        <v>18416</v>
      </c>
      <c r="E8" s="11">
        <f>IF(OR(C8="",D8=""),"",D8-C8)</f>
        <v/>
      </c>
      <c r="F8" s="10" t="n">
        <v>0</v>
      </c>
      <c r="G8" s="10" t="n">
        <v>0</v>
      </c>
      <c r="H8" s="11">
        <f>IF(OR(F8="",G8=""),"",G8-F8)</f>
        <v/>
      </c>
      <c r="I8" s="10" t="n">
        <v>18209</v>
      </c>
      <c r="J8" s="10" t="n">
        <v>18212</v>
      </c>
      <c r="K8" s="11">
        <f>IF(OR(I8="",J8=""),"",J8-I8)</f>
        <v/>
      </c>
      <c r="L8" s="10" t="n">
        <v>18416</v>
      </c>
      <c r="M8" s="10" t="n">
        <v>18416</v>
      </c>
      <c r="N8" s="11">
        <f>IF(OR(L8="",M8=""),"",M8-L8)</f>
        <v/>
      </c>
      <c r="O8" s="10" t="n">
        <v>10.746959</v>
      </c>
      <c r="P8" s="10" t="n">
        <v>7.300103</v>
      </c>
      <c r="Q8" s="11">
        <f>IF(OR(O8="",P8=""),"",P8-O8)</f>
        <v/>
      </c>
      <c r="R8" s="10" t="n">
        <v>27.9</v>
      </c>
      <c r="S8" s="10" t="n">
        <v>18.3</v>
      </c>
      <c r="T8" s="11">
        <f>IF(OR(R8="",S8=""),"",S8-R8)</f>
        <v/>
      </c>
      <c r="U8" s="12" t="n">
        <v>0.08096200000000001</v>
      </c>
      <c r="V8" s="12" t="n">
        <v>0.018462</v>
      </c>
      <c r="W8" s="13">
        <f>IF(OR(U8="",V8=""),"",V8-U8)</f>
        <v/>
      </c>
      <c r="X8" s="10" t="n">
        <v>21.931933</v>
      </c>
      <c r="Y8" s="10" t="n">
        <v>14.893867</v>
      </c>
      <c r="Z8" s="11">
        <f>IF(OR(X8="",Y8=""),"",Y8-X8)</f>
        <v/>
      </c>
      <c r="AA8" s="10" t="n">
        <v>224</v>
      </c>
      <c r="AB8" s="10" t="n">
        <v>168</v>
      </c>
      <c r="AC8" s="11">
        <f>IF(OR(AA8="",AB8=""),"",AB8-AA8)</f>
        <v/>
      </c>
      <c r="AD8" s="10" t="n">
        <v>65.180786</v>
      </c>
      <c r="AE8" s="10" t="n">
        <v>65.78078600000001</v>
      </c>
      <c r="AF8" s="11">
        <f>IF(OR(AD8="",AE8=""),"",AE8-AD8)</f>
        <v/>
      </c>
      <c r="AG8" s="12" t="n">
        <v>0.260496</v>
      </c>
      <c r="AH8" s="12" t="n">
        <v>0.236869</v>
      </c>
      <c r="AI8" s="13">
        <f>IF(OR(AG8="",AH8=""),"",AH8-AG8)</f>
        <v/>
      </c>
      <c r="AJ8" s="12" t="n">
        <v>0.046893</v>
      </c>
      <c r="AK8" s="12" t="n">
        <v>0.050486</v>
      </c>
      <c r="AL8" s="13">
        <f>IF(OR(AJ8="",AK8=""),"",AK8-AJ8)</f>
        <v/>
      </c>
      <c r="AM8" s="10" t="n">
        <v>4360</v>
      </c>
      <c r="AN8" s="10" t="n">
        <v>4360</v>
      </c>
      <c r="AO8" s="11">
        <f>IF(OR(AM8="",AN8=""),"",AN8-AM8)</f>
        <v/>
      </c>
      <c r="AP8" s="10" t="n">
        <v>15.582661</v>
      </c>
      <c r="AQ8" s="10" t="n">
        <v>10.343807</v>
      </c>
      <c r="AR8" s="11">
        <f>IF(OR(AP8="",AQ8=""),"",AQ8-AP8)</f>
        <v/>
      </c>
      <c r="AS8" s="10" t="n">
        <v>35.1</v>
      </c>
      <c r="AT8" s="10" t="n">
        <v>24.9</v>
      </c>
      <c r="AU8" s="11">
        <f>IF(OR(AS8="",AT8=""),"",AT8-AS8)</f>
        <v/>
      </c>
    </row>
    <row r="9">
      <c r="A9" s="8" t="n">
        <v>2</v>
      </c>
      <c r="B9" s="9" t="n">
        <v>20260924</v>
      </c>
      <c r="C9" s="10" t="n">
        <v>18401</v>
      </c>
      <c r="D9" s="10" t="n">
        <v>18401</v>
      </c>
      <c r="E9" s="11">
        <f>IF(OR(C9="",D9=""),"",D9-C9)</f>
        <v/>
      </c>
      <c r="F9" s="10" t="n">
        <v>0</v>
      </c>
      <c r="G9" s="10" t="n">
        <v>0</v>
      </c>
      <c r="H9" s="11">
        <f>IF(OR(F9="",G9=""),"",G9-F9)</f>
        <v/>
      </c>
      <c r="I9" s="10" t="n">
        <v>18193</v>
      </c>
      <c r="J9" s="10" t="n">
        <v>18191</v>
      </c>
      <c r="K9" s="11">
        <f>IF(OR(I9="",J9=""),"",J9-I9)</f>
        <v/>
      </c>
      <c r="L9" s="10" t="n">
        <v>18401</v>
      </c>
      <c r="M9" s="10" t="n">
        <v>18401</v>
      </c>
      <c r="N9" s="11">
        <f>IF(OR(L9="",M9=""),"",M9-L9)</f>
        <v/>
      </c>
      <c r="O9" s="10" t="n">
        <v>10.690799</v>
      </c>
      <c r="P9" s="10" t="n">
        <v>7.312983</v>
      </c>
      <c r="Q9" s="11">
        <f>IF(OR(O9="",P9=""),"",P9-O9)</f>
        <v/>
      </c>
      <c r="R9" s="10" t="n">
        <v>27.6</v>
      </c>
      <c r="S9" s="10" t="n">
        <v>18</v>
      </c>
      <c r="T9" s="11">
        <f>IF(OR(R9="",S9=""),"",S9-R9)</f>
        <v/>
      </c>
      <c r="U9" s="12" t="n">
        <v>0.079126</v>
      </c>
      <c r="V9" s="12" t="n">
        <v>0.018695</v>
      </c>
      <c r="W9" s="13">
        <f>IF(OR(U9="",V9=""),"",V9-U9)</f>
        <v/>
      </c>
      <c r="X9" s="10" t="n">
        <v>21.7905</v>
      </c>
      <c r="Y9" s="10" t="n">
        <v>14.896233</v>
      </c>
      <c r="Z9" s="11">
        <f>IF(OR(X9="",Y9=""),"",Y9-X9)</f>
        <v/>
      </c>
      <c r="AA9" s="10" t="n">
        <v>226</v>
      </c>
      <c r="AB9" s="10" t="n">
        <v>170</v>
      </c>
      <c r="AC9" s="11">
        <f>IF(OR(AA9="",AB9=""),"",AB9-AA9)</f>
        <v/>
      </c>
      <c r="AD9" s="10" t="n">
        <v>62.780786</v>
      </c>
      <c r="AE9" s="10" t="n">
        <v>66.680786</v>
      </c>
      <c r="AF9" s="11">
        <f>IF(OR(AD9="",AE9=""),"",AE9-AD9)</f>
        <v/>
      </c>
      <c r="AG9" s="12" t="n">
        <v>0.260838</v>
      </c>
      <c r="AH9" s="12" t="n">
        <v>0.237166</v>
      </c>
      <c r="AI9" s="13">
        <f>IF(OR(AG9="",AH9=""),"",AH9-AG9)</f>
        <v/>
      </c>
      <c r="AJ9" s="12" t="n">
        <v>0.047257</v>
      </c>
      <c r="AK9" s="12" t="n">
        <v>0.051511</v>
      </c>
      <c r="AL9" s="13">
        <f>IF(OR(AJ9="",AK9=""),"",AK9-AJ9)</f>
        <v/>
      </c>
      <c r="AM9" s="10" t="n">
        <v>4337</v>
      </c>
      <c r="AN9" s="10" t="n">
        <v>4337</v>
      </c>
      <c r="AO9" s="11">
        <f>IF(OR(AM9="",AN9=""),"",AN9-AM9)</f>
        <v/>
      </c>
      <c r="AP9" s="10" t="n">
        <v>16.004658</v>
      </c>
      <c r="AQ9" s="10" t="n">
        <v>10.584113</v>
      </c>
      <c r="AR9" s="11">
        <f>IF(OR(AP9="",AQ9=""),"",AQ9-AP9)</f>
        <v/>
      </c>
      <c r="AS9" s="10" t="n">
        <v>35.7</v>
      </c>
      <c r="AT9" s="10" t="n">
        <v>24.9</v>
      </c>
      <c r="AU9" s="11">
        <f>IF(OR(AS9="",AT9=""),"",AT9-AS9)</f>
        <v/>
      </c>
    </row>
    <row r="10">
      <c r="A10" s="8" t="n">
        <v>3</v>
      </c>
      <c r="B10" s="9" t="n">
        <v>20260925</v>
      </c>
      <c r="C10" s="10" t="n">
        <v>18331</v>
      </c>
      <c r="D10" s="10" t="n">
        <v>18331</v>
      </c>
      <c r="E10" s="11">
        <f>IF(OR(C10="",D10=""),"",D10-C10)</f>
        <v/>
      </c>
      <c r="F10" s="10" t="n">
        <v>0</v>
      </c>
      <c r="G10" s="10" t="n">
        <v>0</v>
      </c>
      <c r="H10" s="11">
        <f>IF(OR(F10="",G10=""),"",G10-F10)</f>
        <v/>
      </c>
      <c r="I10" s="10" t="n">
        <v>18126</v>
      </c>
      <c r="J10" s="10" t="n">
        <v>18128</v>
      </c>
      <c r="K10" s="11">
        <f>IF(OR(I10="",J10=""),"",J10-I10)</f>
        <v/>
      </c>
      <c r="L10" s="10" t="n">
        <v>18331</v>
      </c>
      <c r="M10" s="10" t="n">
        <v>18331</v>
      </c>
      <c r="N10" s="11">
        <f>IF(OR(L10="",M10=""),"",M10-L10)</f>
        <v/>
      </c>
      <c r="O10" s="10" t="n">
        <v>10.968469</v>
      </c>
      <c r="P10" s="10" t="n">
        <v>7.525056</v>
      </c>
      <c r="Q10" s="11">
        <f>IF(OR(O10="",P10=""),"",P10-O10)</f>
        <v/>
      </c>
      <c r="R10" s="10" t="n">
        <v>28.5</v>
      </c>
      <c r="S10" s="10" t="n">
        <v>18.6</v>
      </c>
      <c r="T10" s="11">
        <f>IF(OR(R10="",S10=""),"",S10-R10)</f>
        <v/>
      </c>
      <c r="U10" s="12" t="n">
        <v>0.08701100000000001</v>
      </c>
      <c r="V10" s="12" t="n">
        <v>0.024767</v>
      </c>
      <c r="W10" s="13">
        <f>IF(OR(U10="",V10=""),"",V10-U10)</f>
        <v/>
      </c>
      <c r="X10" s="10" t="n">
        <v>22.265967</v>
      </c>
      <c r="Y10" s="10" t="n">
        <v>15.273867</v>
      </c>
      <c r="Z10" s="11">
        <f>IF(OR(X10="",Y10=""),"",Y10-X10)</f>
        <v/>
      </c>
      <c r="AA10" s="10" t="n">
        <v>231</v>
      </c>
      <c r="AB10" s="10" t="n">
        <v>168</v>
      </c>
      <c r="AC10" s="11">
        <f>IF(OR(AA10="",AB10=""),"",AB10-AA10)</f>
        <v/>
      </c>
      <c r="AD10" s="10" t="n">
        <v>67.880786</v>
      </c>
      <c r="AE10" s="10" t="n">
        <v>67.28078600000001</v>
      </c>
      <c r="AF10" s="11">
        <f>IF(OR(AD10="",AE10=""),"",AE10-AD10)</f>
        <v/>
      </c>
      <c r="AG10" s="12" t="n">
        <v>0.260075</v>
      </c>
      <c r="AH10" s="12" t="n">
        <v>0.236487</v>
      </c>
      <c r="AI10" s="13">
        <f>IF(OR(AG10="",AH10=""),"",AH10-AG10)</f>
        <v/>
      </c>
      <c r="AJ10" s="12" t="n">
        <v>0.046718</v>
      </c>
      <c r="AK10" s="12" t="n">
        <v>0.051265</v>
      </c>
      <c r="AL10" s="13">
        <f>IF(OR(AJ10="",AK10=""),"",AK10-AJ10)</f>
        <v/>
      </c>
      <c r="AM10" s="10" t="n">
        <v>4368</v>
      </c>
      <c r="AN10" s="10" t="n">
        <v>4368</v>
      </c>
      <c r="AO10" s="11">
        <f>IF(OR(AM10="",AN10=""),"",AN10-AM10)</f>
        <v/>
      </c>
      <c r="AP10" s="10" t="n">
        <v>16.898626</v>
      </c>
      <c r="AQ10" s="10" t="n">
        <v>11.267651</v>
      </c>
      <c r="AR10" s="11">
        <f>IF(OR(AP10="",AQ10=""),"",AQ10-AP10)</f>
        <v/>
      </c>
      <c r="AS10" s="10" t="n">
        <v>38.1</v>
      </c>
      <c r="AT10" s="10" t="n">
        <v>26.7</v>
      </c>
      <c r="AU10" s="11">
        <f>IF(OR(AS10="",AT10=""),"",AT10-AS10)</f>
        <v/>
      </c>
    </row>
    <row r="11">
      <c r="A11" s="8" t="n">
        <v>4</v>
      </c>
      <c r="B11" s="9" t="n">
        <v>20260926</v>
      </c>
      <c r="C11" s="10" t="n">
        <v>18384</v>
      </c>
      <c r="D11" s="10" t="n">
        <v>18384</v>
      </c>
      <c r="E11" s="11">
        <f>IF(OR(C11="",D11=""),"",D11-C11)</f>
        <v/>
      </c>
      <c r="F11" s="10" t="n">
        <v>0</v>
      </c>
      <c r="G11" s="10" t="n">
        <v>0</v>
      </c>
      <c r="H11" s="11">
        <f>IF(OR(F11="",G11=""),"",G11-F11)</f>
        <v/>
      </c>
      <c r="I11" s="10" t="n">
        <v>18174</v>
      </c>
      <c r="J11" s="10" t="n">
        <v>18176</v>
      </c>
      <c r="K11" s="11">
        <f>IF(OR(I11="",J11=""),"",J11-I11)</f>
        <v/>
      </c>
      <c r="L11" s="10" t="n">
        <v>18384</v>
      </c>
      <c r="M11" s="10" t="n">
        <v>18384</v>
      </c>
      <c r="N11" s="11">
        <f>IF(OR(L11="",M11=""),"",M11-L11)</f>
        <v/>
      </c>
      <c r="O11" s="10" t="n">
        <v>10.707376</v>
      </c>
      <c r="P11" s="10" t="n">
        <v>7.470561</v>
      </c>
      <c r="Q11" s="11">
        <f>IF(OR(O11="",P11=""),"",P11-O11)</f>
        <v/>
      </c>
      <c r="R11" s="10" t="n">
        <v>27.9</v>
      </c>
      <c r="S11" s="10" t="n">
        <v>18.9</v>
      </c>
      <c r="T11" s="11">
        <f>IF(OR(R11="",S11=""),"",S11-R11)</f>
        <v/>
      </c>
      <c r="U11" s="12" t="n">
        <v>0.083388</v>
      </c>
      <c r="V11" s="12" t="n">
        <v>0.02203</v>
      </c>
      <c r="W11" s="13">
        <f>IF(OR(U11="",V11=""),"",V11-U11)</f>
        <v/>
      </c>
      <c r="X11" s="10" t="n">
        <v>21.815367</v>
      </c>
      <c r="Y11" s="10" t="n">
        <v>15.211367</v>
      </c>
      <c r="Z11" s="11">
        <f>IF(OR(X11="",Y11=""),"",Y11-X11)</f>
        <v/>
      </c>
      <c r="AA11" s="10" t="n">
        <v>229</v>
      </c>
      <c r="AB11" s="10" t="n">
        <v>167</v>
      </c>
      <c r="AC11" s="11">
        <f>IF(OR(AA11="",AB11=""),"",AB11-AA11)</f>
        <v/>
      </c>
      <c r="AD11" s="10" t="n">
        <v>61.280786</v>
      </c>
      <c r="AE11" s="10" t="n">
        <v>62.180786</v>
      </c>
      <c r="AF11" s="11">
        <f>IF(OR(AD11="",AE11=""),"",AE11-AD11)</f>
        <v/>
      </c>
      <c r="AG11" s="12" t="n">
        <v>0.260777</v>
      </c>
      <c r="AH11" s="12" t="n">
        <v>0.237082</v>
      </c>
      <c r="AI11" s="13">
        <f>IF(OR(AG11="",AH11=""),"",AH11-AG11)</f>
        <v/>
      </c>
      <c r="AJ11" s="12" t="n">
        <v>0.04796</v>
      </c>
      <c r="AK11" s="12" t="n">
        <v>0.051282</v>
      </c>
      <c r="AL11" s="13">
        <f>IF(OR(AJ11="",AK11=""),"",AK11-AJ11)</f>
        <v/>
      </c>
      <c r="AM11" s="10" t="n">
        <v>4389</v>
      </c>
      <c r="AN11" s="10" t="n">
        <v>4389</v>
      </c>
      <c r="AO11" s="11">
        <f>IF(OR(AM11="",AN11=""),"",AN11-AM11)</f>
        <v/>
      </c>
      <c r="AP11" s="10" t="n">
        <v>16.62406</v>
      </c>
      <c r="AQ11" s="10" t="n">
        <v>11.211483</v>
      </c>
      <c r="AR11" s="11">
        <f>IF(OR(AP11="",AQ11=""),"",AQ11-AP11)</f>
        <v/>
      </c>
      <c r="AS11" s="10" t="n">
        <v>37.5</v>
      </c>
      <c r="AT11" s="10" t="n">
        <v>26.4</v>
      </c>
      <c r="AU11" s="11">
        <f>IF(OR(AS11="",AT11=""),"",AT11-AS11)</f>
        <v/>
      </c>
    </row>
    <row r="12">
      <c r="A12" s="8" t="n">
        <v>5</v>
      </c>
      <c r="B12" s="9" t="n">
        <v>20260927</v>
      </c>
      <c r="C12" s="10" t="n">
        <v>18542</v>
      </c>
      <c r="D12" s="10" t="n">
        <v>18542</v>
      </c>
      <c r="E12" s="11">
        <f>IF(OR(C12="",D12=""),"",D12-C12)</f>
        <v/>
      </c>
      <c r="F12" s="10" t="n">
        <v>0</v>
      </c>
      <c r="G12" s="10" t="n">
        <v>0</v>
      </c>
      <c r="H12" s="11">
        <f>IF(OR(F12="",G12=""),"",G12-F12)</f>
        <v/>
      </c>
      <c r="I12" s="10" t="n">
        <v>18329</v>
      </c>
      <c r="J12" s="10" t="n">
        <v>18331</v>
      </c>
      <c r="K12" s="11">
        <f>IF(OR(I12="",J12=""),"",J12-I12)</f>
        <v/>
      </c>
      <c r="L12" s="10" t="n">
        <v>18542</v>
      </c>
      <c r="M12" s="10" t="n">
        <v>18542</v>
      </c>
      <c r="N12" s="11">
        <f>IF(OR(L12="",M12=""),"",M12-L12)</f>
        <v/>
      </c>
      <c r="O12" s="10" t="n">
        <v>10.925698</v>
      </c>
      <c r="P12" s="10" t="n">
        <v>7.478821</v>
      </c>
      <c r="Q12" s="11">
        <f>IF(OR(O12="",P12=""),"",P12-O12)</f>
        <v/>
      </c>
      <c r="R12" s="10" t="n">
        <v>28.8</v>
      </c>
      <c r="S12" s="10" t="n">
        <v>18.9</v>
      </c>
      <c r="T12" s="11">
        <f>IF(OR(R12="",S12=""),"",S12-R12)</f>
        <v/>
      </c>
      <c r="U12" s="12" t="n">
        <v>0.089742</v>
      </c>
      <c r="V12" s="12" t="n">
        <v>0.021519</v>
      </c>
      <c r="W12" s="13">
        <f>IF(OR(U12="",V12=""),"",V12-U12)</f>
        <v/>
      </c>
      <c r="X12" s="10" t="n">
        <v>22.4425</v>
      </c>
      <c r="Y12" s="10" t="n">
        <v>15.359067</v>
      </c>
      <c r="Z12" s="11">
        <f>IF(OR(X12="",Y12=""),"",Y12-X12)</f>
        <v/>
      </c>
      <c r="AA12" s="10" t="n">
        <v>222</v>
      </c>
      <c r="AB12" s="10" t="n">
        <v>162</v>
      </c>
      <c r="AC12" s="11">
        <f>IF(OR(AA12="",AB12=""),"",AB12-AA12)</f>
        <v/>
      </c>
      <c r="AD12" s="10" t="n">
        <v>66.680786</v>
      </c>
      <c r="AE12" s="10" t="n">
        <v>64.880786</v>
      </c>
      <c r="AF12" s="11">
        <f>IF(OR(AD12="",AE12=""),"",AE12-AD12)</f>
        <v/>
      </c>
      <c r="AG12" s="12" t="n">
        <v>0.26247</v>
      </c>
      <c r="AH12" s="12" t="n">
        <v>0.238701</v>
      </c>
      <c r="AI12" s="13">
        <f>IF(OR(AG12="",AH12=""),"",AH12-AG12)</f>
        <v/>
      </c>
      <c r="AJ12" s="12" t="n">
        <v>0.049203</v>
      </c>
      <c r="AK12" s="12" t="n">
        <v>0.052234</v>
      </c>
      <c r="AL12" s="13">
        <f>IF(OR(AJ12="",AK12=""),"",AK12-AJ12)</f>
        <v/>
      </c>
      <c r="AM12" s="10" t="n">
        <v>4393</v>
      </c>
      <c r="AN12" s="10" t="n">
        <v>4393</v>
      </c>
      <c r="AO12" s="11">
        <f>IF(OR(AM12="",AN12=""),"",AN12-AM12)</f>
        <v/>
      </c>
      <c r="AP12" s="10" t="n">
        <v>16.093945</v>
      </c>
      <c r="AQ12" s="10" t="n">
        <v>10.786342</v>
      </c>
      <c r="AR12" s="11">
        <f>IF(OR(AP12="",AQ12=""),"",AQ12-AP12)</f>
        <v/>
      </c>
      <c r="AS12" s="10" t="n">
        <v>37.5</v>
      </c>
      <c r="AT12" s="10" t="n">
        <v>25.8</v>
      </c>
      <c r="AU12" s="11">
        <f>IF(OR(AS12="",AT12=""),"",AT12-AS12)</f>
        <v/>
      </c>
    </row>
    <row r="13">
      <c r="A13" s="8" t="n">
        <v>6</v>
      </c>
      <c r="B13" s="9" t="n">
        <v>20260928</v>
      </c>
      <c r="C13" s="10" t="n">
        <v>18358</v>
      </c>
      <c r="D13" s="10" t="n">
        <v>18358</v>
      </c>
      <c r="E13" s="11">
        <f>IF(OR(C13="",D13=""),"",D13-C13)</f>
        <v/>
      </c>
      <c r="F13" s="10" t="n">
        <v>0</v>
      </c>
      <c r="G13" s="10" t="n">
        <v>0</v>
      </c>
      <c r="H13" s="11">
        <f>IF(OR(F13="",G13=""),"",G13-F13)</f>
        <v/>
      </c>
      <c r="I13" s="10" t="n">
        <v>18143</v>
      </c>
      <c r="J13" s="10" t="n">
        <v>18139</v>
      </c>
      <c r="K13" s="11">
        <f>IF(OR(I13="",J13=""),"",J13-I13)</f>
        <v/>
      </c>
      <c r="L13" s="10" t="n">
        <v>18358</v>
      </c>
      <c r="M13" s="10" t="n">
        <v>18358</v>
      </c>
      <c r="N13" s="11">
        <f>IF(OR(L13="",M13=""),"",M13-L13)</f>
        <v/>
      </c>
      <c r="O13" s="10" t="n">
        <v>11.072579</v>
      </c>
      <c r="P13" s="10" t="n">
        <v>7.532177</v>
      </c>
      <c r="Q13" s="11">
        <f>IF(OR(O13="",P13=""),"",P13-O13)</f>
        <v/>
      </c>
      <c r="R13" s="10" t="n">
        <v>28.8</v>
      </c>
      <c r="S13" s="10" t="n">
        <v>18.9</v>
      </c>
      <c r="T13" s="11">
        <f>IF(OR(R13="",S13=""),"",S13-R13)</f>
        <v/>
      </c>
      <c r="U13" s="12" t="n">
        <v>0.08955200000000001</v>
      </c>
      <c r="V13" s="12" t="n">
        <v>0.025711</v>
      </c>
      <c r="W13" s="13">
        <f>IF(OR(U13="",V13=""),"",V13-U13)</f>
        <v/>
      </c>
      <c r="X13" s="10" t="n">
        <v>22.522033</v>
      </c>
      <c r="Y13" s="10" t="n">
        <v>15.310633</v>
      </c>
      <c r="Z13" s="11">
        <f>IF(OR(X13="",Y13=""),"",Y13-X13)</f>
        <v/>
      </c>
      <c r="AA13" s="10" t="n">
        <v>234</v>
      </c>
      <c r="AB13" s="10" t="n">
        <v>175</v>
      </c>
      <c r="AC13" s="11">
        <f>IF(OR(AA13="",AB13=""),"",AB13-AA13)</f>
        <v/>
      </c>
      <c r="AD13" s="10" t="n">
        <v>63.380786</v>
      </c>
      <c r="AE13" s="10" t="n">
        <v>63.980786</v>
      </c>
      <c r="AF13" s="11">
        <f>IF(OR(AD13="",AE13=""),"",AE13-AD13)</f>
        <v/>
      </c>
      <c r="AG13" s="12" t="n">
        <v>0.259646</v>
      </c>
      <c r="AH13" s="12" t="n">
        <v>0.236055</v>
      </c>
      <c r="AI13" s="13">
        <f>IF(OR(AG13="",AH13=""),"",AH13-AG13)</f>
        <v/>
      </c>
      <c r="AJ13" s="12" t="n">
        <v>0.046245</v>
      </c>
      <c r="AK13" s="12" t="n">
        <v>0.04984</v>
      </c>
      <c r="AL13" s="13">
        <f>IF(OR(AJ13="",AK13=""),"",AK13-AJ13)</f>
        <v/>
      </c>
      <c r="AM13" s="10" t="n">
        <v>4392</v>
      </c>
      <c r="AN13" s="10" t="n">
        <v>4392</v>
      </c>
      <c r="AO13" s="11">
        <f>IF(OR(AM13="",AN13=""),"",AN13-AM13)</f>
        <v/>
      </c>
      <c r="AP13" s="10" t="n">
        <v>16.783675</v>
      </c>
      <c r="AQ13" s="10" t="n">
        <v>11.305191</v>
      </c>
      <c r="AR13" s="11">
        <f>IF(OR(AP13="",AQ13=""),"",AQ13-AP13)</f>
        <v/>
      </c>
      <c r="AS13" s="10" t="n">
        <v>37.5</v>
      </c>
      <c r="AT13" s="10" t="n">
        <v>27.9</v>
      </c>
      <c r="AU13" s="11">
        <f>IF(OR(AS13="",AT13=""),"",AT13-AS13)</f>
        <v/>
      </c>
    </row>
    <row r="14">
      <c r="A14" s="8" t="n">
        <v>7</v>
      </c>
      <c r="B14" s="9" t="n">
        <v>20260929</v>
      </c>
      <c r="C14" s="10" t="n">
        <v>18432</v>
      </c>
      <c r="D14" s="10" t="n">
        <v>18432</v>
      </c>
      <c r="E14" s="11">
        <f>IF(OR(C14="",D14=""),"",D14-C14)</f>
        <v/>
      </c>
      <c r="F14" s="10" t="n">
        <v>0</v>
      </c>
      <c r="G14" s="10" t="n">
        <v>0</v>
      </c>
      <c r="H14" s="11">
        <f>IF(OR(F14="",G14=""),"",G14-F14)</f>
        <v/>
      </c>
      <c r="I14" s="10" t="n">
        <v>18219</v>
      </c>
      <c r="J14" s="10" t="n">
        <v>18220</v>
      </c>
      <c r="K14" s="11">
        <f>IF(OR(I14="",J14=""),"",J14-I14)</f>
        <v/>
      </c>
      <c r="L14" s="10" t="n">
        <v>18432</v>
      </c>
      <c r="M14" s="10" t="n">
        <v>18432</v>
      </c>
      <c r="N14" s="11">
        <f>IF(OR(L14="",M14=""),"",M14-L14)</f>
        <v/>
      </c>
      <c r="O14" s="10" t="n">
        <v>10.920817</v>
      </c>
      <c r="P14" s="10" t="n">
        <v>7.389209</v>
      </c>
      <c r="Q14" s="11">
        <f>IF(OR(O14="",P14=""),"",P14-O14)</f>
        <v/>
      </c>
      <c r="R14" s="10" t="n">
        <v>28.5</v>
      </c>
      <c r="S14" s="10" t="n">
        <v>18.6</v>
      </c>
      <c r="T14" s="11">
        <f>IF(OR(R14="",S14=""),"",S14-R14)</f>
        <v/>
      </c>
      <c r="U14" s="12" t="n">
        <v>0.086968</v>
      </c>
      <c r="V14" s="12" t="n">
        <v>0.021213</v>
      </c>
      <c r="W14" s="13">
        <f>IF(OR(U14="",V14=""),"",V14-U14)</f>
        <v/>
      </c>
      <c r="X14" s="10" t="n">
        <v>22.304633</v>
      </c>
      <c r="Y14" s="10" t="n">
        <v>15.070933</v>
      </c>
      <c r="Z14" s="11">
        <f>IF(OR(X14="",Y14=""),"",Y14-X14)</f>
        <v/>
      </c>
      <c r="AA14" s="10" t="n">
        <v>227</v>
      </c>
      <c r="AB14" s="10" t="n">
        <v>165</v>
      </c>
      <c r="AC14" s="11">
        <f>IF(OR(AA14="",AB14=""),"",AB14-AA14)</f>
        <v/>
      </c>
      <c r="AD14" s="10" t="n">
        <v>64.28078600000001</v>
      </c>
      <c r="AE14" s="10" t="n">
        <v>67.580786</v>
      </c>
      <c r="AF14" s="11">
        <f>IF(OR(AD14="",AE14=""),"",AE14-AD14)</f>
        <v/>
      </c>
      <c r="AG14" s="12" t="n">
        <v>0.260909</v>
      </c>
      <c r="AH14" s="12" t="n">
        <v>0.237153</v>
      </c>
      <c r="AI14" s="13">
        <f>IF(OR(AG14="",AH14=""),"",AH14-AG14)</f>
        <v/>
      </c>
      <c r="AJ14" s="12" t="n">
        <v>0.047948</v>
      </c>
      <c r="AK14" s="12" t="n">
        <v>0.051175</v>
      </c>
      <c r="AL14" s="13">
        <f>IF(OR(AJ14="",AK14=""),"",AK14-AJ14)</f>
        <v/>
      </c>
      <c r="AM14" s="10" t="n">
        <v>4358</v>
      </c>
      <c r="AN14" s="10" t="n">
        <v>4358</v>
      </c>
      <c r="AO14" s="11">
        <f>IF(OR(AM14="",AN14=""),"",AN14-AM14)</f>
        <v/>
      </c>
      <c r="AP14" s="10" t="n">
        <v>15.816292</v>
      </c>
      <c r="AQ14" s="10" t="n">
        <v>10.584878</v>
      </c>
      <c r="AR14" s="11">
        <f>IF(OR(AP14="",AQ14=""),"",AQ14-AP14)</f>
        <v/>
      </c>
      <c r="AS14" s="10" t="n">
        <v>36.3</v>
      </c>
      <c r="AT14" s="10" t="n">
        <v>25.5</v>
      </c>
      <c r="AU14" s="11">
        <f>IF(OR(AS14="",AT14=""),"",AT14-AS14)</f>
        <v/>
      </c>
    </row>
    <row r="15">
      <c r="A15" s="8" t="n">
        <v>8</v>
      </c>
      <c r="B15" s="9" t="n">
        <v>20260930</v>
      </c>
      <c r="C15" s="10" t="n">
        <v>18404</v>
      </c>
      <c r="D15" s="10" t="n">
        <v>18404</v>
      </c>
      <c r="E15" s="11">
        <f>IF(OR(C15="",D15=""),"",D15-C15)</f>
        <v/>
      </c>
      <c r="F15" s="10" t="n">
        <v>0</v>
      </c>
      <c r="G15" s="10" t="n">
        <v>0</v>
      </c>
      <c r="H15" s="11">
        <f>IF(OR(F15="",G15=""),"",G15-F15)</f>
        <v/>
      </c>
      <c r="I15" s="10" t="n">
        <v>18205</v>
      </c>
      <c r="J15" s="10" t="n">
        <v>18202</v>
      </c>
      <c r="K15" s="11">
        <f>IF(OR(I15="",J15=""),"",J15-I15)</f>
        <v/>
      </c>
      <c r="L15" s="10" t="n">
        <v>18404</v>
      </c>
      <c r="M15" s="10" t="n">
        <v>18404</v>
      </c>
      <c r="N15" s="11">
        <f>IF(OR(L15="",M15=""),"",M15-L15)</f>
        <v/>
      </c>
      <c r="O15" s="10" t="n">
        <v>11.210291</v>
      </c>
      <c r="P15" s="10" t="n">
        <v>7.678429</v>
      </c>
      <c r="Q15" s="11">
        <f>IF(OR(O15="",P15=""),"",P15-O15)</f>
        <v/>
      </c>
      <c r="R15" s="10" t="n">
        <v>29.4</v>
      </c>
      <c r="S15" s="10" t="n">
        <v>19.5</v>
      </c>
      <c r="T15" s="11">
        <f>IF(OR(R15="",S15=""),"",S15-R15)</f>
        <v/>
      </c>
      <c r="U15" s="12" t="n">
        <v>0.09503399999999999</v>
      </c>
      <c r="V15" s="12" t="n">
        <v>0.02945</v>
      </c>
      <c r="W15" s="13">
        <f>IF(OR(U15="",V15=""),"",V15-U15)</f>
        <v/>
      </c>
      <c r="X15" s="10" t="n">
        <v>22.858833</v>
      </c>
      <c r="Y15" s="10" t="n">
        <v>15.6505</v>
      </c>
      <c r="Z15" s="11">
        <f>IF(OR(X15="",Y15=""),"",Y15-X15)</f>
        <v/>
      </c>
      <c r="AA15" s="10" t="n">
        <v>236</v>
      </c>
      <c r="AB15" s="10" t="n">
        <v>174</v>
      </c>
      <c r="AC15" s="11">
        <f>IF(OR(AA15="",AB15=""),"",AB15-AA15)</f>
        <v/>
      </c>
      <c r="AD15" s="10" t="n">
        <v>69.680786</v>
      </c>
      <c r="AE15" s="10" t="n">
        <v>62.780786</v>
      </c>
      <c r="AF15" s="11">
        <f>IF(OR(AD15="",AE15=""),"",AE15-AD15)</f>
        <v/>
      </c>
      <c r="AG15" s="12" t="n">
        <v>0.260334</v>
      </c>
      <c r="AH15" s="12" t="n">
        <v>0.236732</v>
      </c>
      <c r="AI15" s="13">
        <f>IF(OR(AG15="",AH15=""),"",AH15-AG15)</f>
        <v/>
      </c>
      <c r="AJ15" s="12" t="n">
        <v>0.046776</v>
      </c>
      <c r="AK15" s="12" t="n">
        <v>0.051596</v>
      </c>
      <c r="AL15" s="13">
        <f>IF(OR(AJ15="",AK15=""),"",AK15-AJ15)</f>
        <v/>
      </c>
      <c r="AM15" s="10" t="n">
        <v>4399</v>
      </c>
      <c r="AN15" s="10" t="n">
        <v>4399</v>
      </c>
      <c r="AO15" s="11">
        <f>IF(OR(AM15="",AN15=""),"",AN15-AM15)</f>
        <v/>
      </c>
      <c r="AP15" s="10" t="n">
        <v>16.656172</v>
      </c>
      <c r="AQ15" s="10" t="n">
        <v>11.048579</v>
      </c>
      <c r="AR15" s="11">
        <f>IF(OR(AP15="",AQ15=""),"",AQ15-AP15)</f>
        <v/>
      </c>
      <c r="AS15" s="10" t="n">
        <v>38.1</v>
      </c>
      <c r="AT15" s="10" t="n">
        <v>26.7</v>
      </c>
      <c r="AU15" s="11">
        <f>IF(OR(AS15="",AT15=""),"",AT15-AS15)</f>
        <v/>
      </c>
    </row>
    <row r="16">
      <c r="A16" s="8" t="n">
        <v>9</v>
      </c>
      <c r="B16" s="9" t="n">
        <v>20260931</v>
      </c>
      <c r="C16" s="10" t="n">
        <v>18491</v>
      </c>
      <c r="D16" s="10" t="n">
        <v>18491</v>
      </c>
      <c r="E16" s="11">
        <f>IF(OR(C16="",D16=""),"",D16-C16)</f>
        <v/>
      </c>
      <c r="F16" s="10" t="n">
        <v>0</v>
      </c>
      <c r="G16" s="10" t="n">
        <v>0</v>
      </c>
      <c r="H16" s="11">
        <f>IF(OR(F16="",G16=""),"",G16-F16)</f>
        <v/>
      </c>
      <c r="I16" s="10" t="n">
        <v>18287</v>
      </c>
      <c r="J16" s="10" t="n">
        <v>18289</v>
      </c>
      <c r="K16" s="11">
        <f>IF(OR(I16="",J16=""),"",J16-I16)</f>
        <v/>
      </c>
      <c r="L16" s="10" t="n">
        <v>18491</v>
      </c>
      <c r="M16" s="10" t="n">
        <v>18491</v>
      </c>
      <c r="N16" s="11">
        <f>IF(OR(L16="",M16=""),"",M16-L16)</f>
        <v/>
      </c>
      <c r="O16" s="10" t="n">
        <v>10.987275</v>
      </c>
      <c r="P16" s="10" t="n">
        <v>7.569699</v>
      </c>
      <c r="Q16" s="11">
        <f>IF(OR(O16="",P16=""),"",P16-O16)</f>
        <v/>
      </c>
      <c r="R16" s="10" t="n">
        <v>28.8</v>
      </c>
      <c r="S16" s="10" t="n">
        <v>18.9</v>
      </c>
      <c r="T16" s="11">
        <f>IF(OR(R16="",S16=""),"",S16-R16)</f>
        <v/>
      </c>
      <c r="U16" s="12" t="n">
        <v>0.086204</v>
      </c>
      <c r="V16" s="12" t="n">
        <v>0.022714</v>
      </c>
      <c r="W16" s="13">
        <f>IF(OR(U16="",V16=""),"",V16-U16)</f>
        <v/>
      </c>
      <c r="X16" s="10" t="n">
        <v>22.515933</v>
      </c>
      <c r="Y16" s="10" t="n">
        <v>15.503333</v>
      </c>
      <c r="Z16" s="11">
        <f>IF(OR(X16="",Y16=""),"",Y16-X16)</f>
        <v/>
      </c>
      <c r="AA16" s="10" t="n">
        <v>243</v>
      </c>
      <c r="AB16" s="10" t="n">
        <v>184</v>
      </c>
      <c r="AC16" s="11">
        <f>IF(OR(AA16="",AB16=""),"",AB16-AA16)</f>
        <v/>
      </c>
      <c r="AD16" s="10" t="n">
        <v>63.980786</v>
      </c>
      <c r="AE16" s="10" t="n">
        <v>61.280786</v>
      </c>
      <c r="AF16" s="11">
        <f>IF(OR(AD16="",AE16=""),"",AE16-AD16)</f>
        <v/>
      </c>
      <c r="AG16" s="12" t="n">
        <v>0.261692</v>
      </c>
      <c r="AH16" s="12" t="n">
        <v>0.237926</v>
      </c>
      <c r="AI16" s="13">
        <f>IF(OR(AG16="",AH16=""),"",AH16-AG16)</f>
        <v/>
      </c>
      <c r="AJ16" s="12" t="n">
        <v>0.047376</v>
      </c>
      <c r="AK16" s="12" t="n">
        <v>0.051549</v>
      </c>
      <c r="AL16" s="13">
        <f>IF(OR(AJ16="",AK16=""),"",AK16-AJ16)</f>
        <v/>
      </c>
      <c r="AM16" s="10" t="n">
        <v>4384</v>
      </c>
      <c r="AN16" s="10" t="n">
        <v>4384</v>
      </c>
      <c r="AO16" s="11">
        <f>IF(OR(AM16="",AN16=""),"",AN16-AM16)</f>
        <v/>
      </c>
      <c r="AP16" s="10" t="n">
        <v>16.500068</v>
      </c>
      <c r="AQ16" s="10" t="n">
        <v>11.476711</v>
      </c>
      <c r="AR16" s="11">
        <f>IF(OR(AP16="",AQ16=""),"",AQ16-AP16)</f>
        <v/>
      </c>
      <c r="AS16" s="10" t="n">
        <v>37.2</v>
      </c>
      <c r="AT16" s="10" t="n">
        <v>27.3</v>
      </c>
      <c r="AU16" s="11">
        <f>IF(OR(AS16="",AT16=""),"",AT16-AS16)</f>
        <v/>
      </c>
    </row>
    <row r="17">
      <c r="A17" s="8" t="n">
        <v>10</v>
      </c>
      <c r="B17" s="9" t="n">
        <v>20260932</v>
      </c>
      <c r="C17" s="10" t="n">
        <v>18358</v>
      </c>
      <c r="D17" s="10" t="n">
        <v>18358</v>
      </c>
      <c r="E17" s="11">
        <f>IF(OR(C17="",D17=""),"",D17-C17)</f>
        <v/>
      </c>
      <c r="F17" s="10" t="n">
        <v>0</v>
      </c>
      <c r="G17" s="10" t="n">
        <v>0</v>
      </c>
      <c r="H17" s="11">
        <f>IF(OR(F17="",G17=""),"",G17-F17)</f>
        <v/>
      </c>
      <c r="I17" s="10" t="n">
        <v>18152</v>
      </c>
      <c r="J17" s="10" t="n">
        <v>18152</v>
      </c>
      <c r="K17" s="11">
        <f>IF(OR(I17="",J17=""),"",J17-I17)</f>
        <v/>
      </c>
      <c r="L17" s="10" t="n">
        <v>18358</v>
      </c>
      <c r="M17" s="10" t="n">
        <v>18358</v>
      </c>
      <c r="N17" s="11">
        <f>IF(OR(L17="",M17=""),"",M17-L17)</f>
        <v/>
      </c>
      <c r="O17" s="10" t="n">
        <v>10.741105</v>
      </c>
      <c r="P17" s="10" t="n">
        <v>7.385625</v>
      </c>
      <c r="Q17" s="11">
        <f>IF(OR(O17="",P17=""),"",P17-O17)</f>
        <v/>
      </c>
      <c r="R17" s="10" t="n">
        <v>27.9</v>
      </c>
      <c r="S17" s="10" t="n">
        <v>18.6</v>
      </c>
      <c r="T17" s="11">
        <f>IF(OR(R17="",S17=""),"",S17-R17)</f>
        <v/>
      </c>
      <c r="U17" s="12" t="n">
        <v>0.08214399999999999</v>
      </c>
      <c r="V17" s="12" t="n">
        <v>0.020808</v>
      </c>
      <c r="W17" s="13">
        <f>IF(OR(U17="",V17=""),"",V17-U17)</f>
        <v/>
      </c>
      <c r="X17" s="10" t="n">
        <v>21.855933</v>
      </c>
      <c r="Y17" s="10" t="n">
        <v>15.021833</v>
      </c>
      <c r="Z17" s="11">
        <f>IF(OR(X17="",Y17=""),"",Y17-X17)</f>
        <v/>
      </c>
      <c r="AA17" s="10" t="n">
        <v>227</v>
      </c>
      <c r="AB17" s="10" t="n">
        <v>171</v>
      </c>
      <c r="AC17" s="11">
        <f>IF(OR(AA17="",AB17=""),"",AB17-AA17)</f>
        <v/>
      </c>
      <c r="AD17" s="10" t="n">
        <v>64.580786</v>
      </c>
      <c r="AE17" s="10" t="n">
        <v>65.180786</v>
      </c>
      <c r="AF17" s="11">
        <f>IF(OR(AD17="",AE17=""),"",AE17-AD17)</f>
        <v/>
      </c>
      <c r="AG17" s="12" t="n">
        <v>0.259736</v>
      </c>
      <c r="AH17" s="12" t="n">
        <v>0.236157</v>
      </c>
      <c r="AI17" s="13">
        <f>IF(OR(AG17="",AH17=""),"",AH17-AG17)</f>
        <v/>
      </c>
      <c r="AJ17" s="12" t="n">
        <v>0.046572</v>
      </c>
      <c r="AK17" s="12" t="n">
        <v>0.050027</v>
      </c>
      <c r="AL17" s="13">
        <f>IF(OR(AJ17="",AK17=""),"",AK17-AJ17)</f>
        <v/>
      </c>
      <c r="AM17" s="10" t="n">
        <v>4353</v>
      </c>
      <c r="AN17" s="10" t="n">
        <v>4353</v>
      </c>
      <c r="AO17" s="11">
        <f>IF(OR(AM17="",AN17=""),"",AN17-AM17)</f>
        <v/>
      </c>
      <c r="AP17" s="10" t="n">
        <v>16.182288</v>
      </c>
      <c r="AQ17" s="10" t="n">
        <v>10.844452</v>
      </c>
      <c r="AR17" s="11">
        <f>IF(OR(AP17="",AQ17=""),"",AQ17-AP17)</f>
        <v/>
      </c>
      <c r="AS17" s="10" t="n">
        <v>36.9</v>
      </c>
      <c r="AT17" s="10" t="n">
        <v>26.1</v>
      </c>
      <c r="AU17" s="11">
        <f>IF(OR(AS17="",AT17=""),"",AT17-AS17)</f>
        <v/>
      </c>
    </row>
    <row r="18">
      <c r="A18" s="8" t="n">
        <v>11</v>
      </c>
      <c r="B18" s="9" t="n">
        <v>20260933</v>
      </c>
      <c r="C18" s="10" t="n">
        <v>18329</v>
      </c>
      <c r="D18" s="10" t="n">
        <v>18329</v>
      </c>
      <c r="E18" s="11">
        <f>IF(OR(C18="",D18=""),"",D18-C18)</f>
        <v/>
      </c>
      <c r="F18" s="10" t="n">
        <v>0</v>
      </c>
      <c r="G18" s="10" t="n">
        <v>0</v>
      </c>
      <c r="H18" s="11">
        <f>IF(OR(F18="",G18=""),"",G18-F18)</f>
        <v/>
      </c>
      <c r="I18" s="10" t="n">
        <v>18122</v>
      </c>
      <c r="J18" s="10" t="n">
        <v>18124</v>
      </c>
      <c r="K18" s="11">
        <f>IF(OR(I18="",J18=""),"",J18-I18)</f>
        <v/>
      </c>
      <c r="L18" s="10" t="n">
        <v>18329</v>
      </c>
      <c r="M18" s="10" t="n">
        <v>18329</v>
      </c>
      <c r="N18" s="11">
        <f>IF(OR(L18="",M18=""),"",M18-L18)</f>
        <v/>
      </c>
      <c r="O18" s="10" t="n">
        <v>10.466447</v>
      </c>
      <c r="P18" s="10" t="n">
        <v>7.076308</v>
      </c>
      <c r="Q18" s="11">
        <f>IF(OR(O18="",P18=""),"",P18-O18)</f>
        <v/>
      </c>
      <c r="R18" s="10" t="n">
        <v>27</v>
      </c>
      <c r="S18" s="10" t="n">
        <v>17.7</v>
      </c>
      <c r="T18" s="11">
        <f>IF(OR(R18="",S18=""),"",S18-R18)</f>
        <v/>
      </c>
      <c r="U18" s="12" t="n">
        <v>0.077582</v>
      </c>
      <c r="V18" s="12" t="n">
        <v>0.019805</v>
      </c>
      <c r="W18" s="13">
        <f>IF(OR(U18="",V18=""),"",V18-U18)</f>
        <v/>
      </c>
      <c r="X18" s="10" t="n">
        <v>21.264967</v>
      </c>
      <c r="Y18" s="10" t="n">
        <v>14.363561</v>
      </c>
      <c r="Z18" s="11">
        <f>IF(OR(X18="",Y18=""),"",Y18-X18)</f>
        <v/>
      </c>
      <c r="AA18" s="10" t="n">
        <v>232</v>
      </c>
      <c r="AB18" s="10" t="n">
        <v>171</v>
      </c>
      <c r="AC18" s="11">
        <f>IF(OR(AA18="",AB18=""),"",AB18-AA18)</f>
        <v/>
      </c>
      <c r="AD18" s="10" t="n">
        <v>63.380786</v>
      </c>
      <c r="AE18" s="10" t="n">
        <v>65.48078599999999</v>
      </c>
      <c r="AF18" s="11">
        <f>IF(OR(AD18="",AE18=""),"",AE18-AD18)</f>
        <v/>
      </c>
      <c r="AG18" s="12" t="n">
        <v>0.259582</v>
      </c>
      <c r="AH18" s="12" t="n">
        <v>0.236009</v>
      </c>
      <c r="AI18" s="13">
        <f>IF(OR(AG18="",AH18=""),"",AH18-AG18)</f>
        <v/>
      </c>
      <c r="AJ18" s="12" t="n">
        <v>0.046604</v>
      </c>
      <c r="AK18" s="12" t="n">
        <v>0.05134</v>
      </c>
      <c r="AL18" s="13">
        <f>IF(OR(AJ18="",AK18=""),"",AK18-AJ18)</f>
        <v/>
      </c>
      <c r="AM18" s="10" t="n">
        <v>4370</v>
      </c>
      <c r="AN18" s="10" t="n">
        <v>4370</v>
      </c>
      <c r="AO18" s="11">
        <f>IF(OR(AM18="",AN18=""),"",AN18-AM18)</f>
        <v/>
      </c>
      <c r="AP18" s="10" t="n">
        <v>15.993776</v>
      </c>
      <c r="AQ18" s="10" t="n">
        <v>10.576064</v>
      </c>
      <c r="AR18" s="11">
        <f>IF(OR(AP18="",AQ18=""),"",AQ18-AP18)</f>
        <v/>
      </c>
      <c r="AS18" s="10" t="n">
        <v>36</v>
      </c>
      <c r="AT18" s="10" t="n">
        <v>25.2</v>
      </c>
      <c r="AU18" s="11">
        <f>IF(OR(AS18="",AT18=""),"",AT18-AS18)</f>
        <v/>
      </c>
    </row>
    <row r="19">
      <c r="A19" s="8" t="n">
        <v>12</v>
      </c>
      <c r="B19" s="9" t="n">
        <v>20260934</v>
      </c>
      <c r="C19" s="10" t="n">
        <v>18305</v>
      </c>
      <c r="D19" s="10" t="n">
        <v>18305</v>
      </c>
      <c r="E19" s="11">
        <f>IF(OR(C19="",D19=""),"",D19-C19)</f>
        <v/>
      </c>
      <c r="F19" s="10" t="n">
        <v>0</v>
      </c>
      <c r="G19" s="10" t="n">
        <v>0</v>
      </c>
      <c r="H19" s="11">
        <f>IF(OR(F19="",G19=""),"",G19-F19)</f>
        <v/>
      </c>
      <c r="I19" s="10" t="n">
        <v>18106</v>
      </c>
      <c r="J19" s="10" t="n">
        <v>18104</v>
      </c>
      <c r="K19" s="11">
        <f>IF(OR(I19="",J19=""),"",J19-I19)</f>
        <v/>
      </c>
      <c r="L19" s="10" t="n">
        <v>18305</v>
      </c>
      <c r="M19" s="10" t="n">
        <v>18305</v>
      </c>
      <c r="N19" s="11">
        <f>IF(OR(L19="",M19=""),"",M19-L19)</f>
        <v/>
      </c>
      <c r="O19" s="10" t="n">
        <v>10.745179</v>
      </c>
      <c r="P19" s="10" t="n">
        <v>7.205572</v>
      </c>
      <c r="Q19" s="11">
        <f>IF(OR(O19="",P19=""),"",P19-O19)</f>
        <v/>
      </c>
      <c r="R19" s="10" t="n">
        <v>27.9</v>
      </c>
      <c r="S19" s="10" t="n">
        <v>18</v>
      </c>
      <c r="T19" s="11">
        <f>IF(OR(R19="",S19=""),"",S19-R19)</f>
        <v/>
      </c>
      <c r="U19" s="12" t="n">
        <v>0.079323</v>
      </c>
      <c r="V19" s="12" t="n">
        <v>0.0177</v>
      </c>
      <c r="W19" s="13">
        <f>IF(OR(U19="",V19=""),"",V19-U19)</f>
        <v/>
      </c>
      <c r="X19" s="10" t="n">
        <v>21.786367</v>
      </c>
      <c r="Y19" s="10" t="n">
        <v>14.598333</v>
      </c>
      <c r="Z19" s="11">
        <f>IF(OR(X19="",Y19=""),"",Y19-X19)</f>
        <v/>
      </c>
      <c r="AA19" s="10" t="n">
        <v>227</v>
      </c>
      <c r="AB19" s="10" t="n">
        <v>169</v>
      </c>
      <c r="AC19" s="11">
        <f>IF(OR(AA19="",AB19=""),"",AB19-AA19)</f>
        <v/>
      </c>
      <c r="AD19" s="10" t="n">
        <v>66.680786</v>
      </c>
      <c r="AE19" s="10" t="n">
        <v>66.680786</v>
      </c>
      <c r="AF19" s="11">
        <f>IF(OR(AD19="",AE19=""),"",AE19-AD19)</f>
        <v/>
      </c>
      <c r="AG19" s="12" t="n">
        <v>0.259127</v>
      </c>
      <c r="AH19" s="12" t="n">
        <v>0.235624</v>
      </c>
      <c r="AI19" s="13">
        <f>IF(OR(AG19="",AH19=""),"",AH19-AG19)</f>
        <v/>
      </c>
      <c r="AJ19" s="12" t="n">
        <v>0.046491</v>
      </c>
      <c r="AK19" s="12" t="n">
        <v>0.050169</v>
      </c>
      <c r="AL19" s="13">
        <f>IF(OR(AJ19="",AK19=""),"",AK19-AJ19)</f>
        <v/>
      </c>
      <c r="AM19" s="10" t="n">
        <v>4364</v>
      </c>
      <c r="AN19" s="10" t="n">
        <v>4364</v>
      </c>
      <c r="AO19" s="11">
        <f>IF(OR(AM19="",AN19=""),"",AN19-AM19)</f>
        <v/>
      </c>
      <c r="AP19" s="10" t="n">
        <v>15.850573</v>
      </c>
      <c r="AQ19" s="10" t="n">
        <v>10.35385</v>
      </c>
      <c r="AR19" s="11">
        <f>IF(OR(AP19="",AQ19=""),"",AQ19-AP19)</f>
        <v/>
      </c>
      <c r="AS19" s="10" t="n">
        <v>35.4</v>
      </c>
      <c r="AT19" s="10" t="n">
        <v>24.3</v>
      </c>
      <c r="AU19" s="11">
        <f>IF(OR(AS19="",AT19=""),"",AT19-AS19)</f>
        <v/>
      </c>
    </row>
    <row r="20">
      <c r="A20" s="8" t="n">
        <v>13</v>
      </c>
      <c r="B20" s="9" t="n">
        <v>20260935</v>
      </c>
      <c r="C20" s="10" t="n">
        <v>18293</v>
      </c>
      <c r="D20" s="10" t="n">
        <v>18293</v>
      </c>
      <c r="E20" s="11">
        <f>IF(OR(C20="",D20=""),"",D20-C20)</f>
        <v/>
      </c>
      <c r="F20" s="10" t="n">
        <v>0</v>
      </c>
      <c r="G20" s="10" t="n">
        <v>0</v>
      </c>
      <c r="H20" s="11">
        <f>IF(OR(F20="",G20=""),"",G20-F20)</f>
        <v/>
      </c>
      <c r="I20" s="10" t="n">
        <v>18090</v>
      </c>
      <c r="J20" s="10" t="n">
        <v>18088</v>
      </c>
      <c r="K20" s="11">
        <f>IF(OR(I20="",J20=""),"",J20-I20)</f>
        <v/>
      </c>
      <c r="L20" s="10" t="n">
        <v>18293</v>
      </c>
      <c r="M20" s="10" t="n">
        <v>18293</v>
      </c>
      <c r="N20" s="11">
        <f>IF(OR(L20="",M20=""),"",M20-L20)</f>
        <v/>
      </c>
      <c r="O20" s="10" t="n">
        <v>10.864287</v>
      </c>
      <c r="P20" s="10" t="n">
        <v>7.25302</v>
      </c>
      <c r="Q20" s="11">
        <f>IF(OR(O20="",P20=""),"",P20-O20)</f>
        <v/>
      </c>
      <c r="R20" s="10" t="n">
        <v>28.2</v>
      </c>
      <c r="S20" s="10" t="n">
        <v>18</v>
      </c>
      <c r="T20" s="11">
        <f>IF(OR(R20="",S20=""),"",S20-R20)</f>
        <v/>
      </c>
      <c r="U20" s="12" t="n">
        <v>0.083748</v>
      </c>
      <c r="V20" s="12" t="n">
        <v>0.020828</v>
      </c>
      <c r="W20" s="13">
        <f>IF(OR(U20="",V20=""),"",V20-U20)</f>
        <v/>
      </c>
      <c r="X20" s="10" t="n">
        <v>22.025933</v>
      </c>
      <c r="Y20" s="10" t="n">
        <v>14.692567</v>
      </c>
      <c r="Z20" s="11">
        <f>IF(OR(X20="",Y20=""),"",Y20-X20)</f>
        <v/>
      </c>
      <c r="AA20" s="10" t="n">
        <v>232</v>
      </c>
      <c r="AB20" s="10" t="n">
        <v>168</v>
      </c>
      <c r="AC20" s="11">
        <f>IF(OR(AA20="",AB20=""),"",AB20-AA20)</f>
        <v/>
      </c>
      <c r="AD20" s="10" t="n">
        <v>68.180786</v>
      </c>
      <c r="AE20" s="10" t="n">
        <v>64.580786</v>
      </c>
      <c r="AF20" s="11">
        <f>IF(OR(AD20="",AE20=""),"",AE20-AD20)</f>
        <v/>
      </c>
      <c r="AG20" s="12" t="n">
        <v>0.259024</v>
      </c>
      <c r="AH20" s="12" t="n">
        <v>0.235487</v>
      </c>
      <c r="AI20" s="13">
        <f>IF(OR(AG20="",AH20=""),"",AH20-AG20)</f>
        <v/>
      </c>
      <c r="AJ20" s="12" t="n">
        <v>0.046682</v>
      </c>
      <c r="AK20" s="12" t="n">
        <v>0.049597</v>
      </c>
      <c r="AL20" s="13">
        <f>IF(OR(AJ20="",AK20=""),"",AK20-AJ20)</f>
        <v/>
      </c>
      <c r="AM20" s="10" t="n">
        <v>4316</v>
      </c>
      <c r="AN20" s="10" t="n">
        <v>4316</v>
      </c>
      <c r="AO20" s="11">
        <f>IF(OR(AM20="",AN20=""),"",AN20-AM20)</f>
        <v/>
      </c>
      <c r="AP20" s="10" t="n">
        <v>16.316358</v>
      </c>
      <c r="AQ20" s="10" t="n">
        <v>10.732785</v>
      </c>
      <c r="AR20" s="11">
        <f>IF(OR(AP20="",AQ20=""),"",AQ20-AP20)</f>
        <v/>
      </c>
      <c r="AS20" s="10" t="n">
        <v>37.2</v>
      </c>
      <c r="AT20" s="10" t="n">
        <v>25.8</v>
      </c>
      <c r="AU20" s="11">
        <f>IF(OR(AS20="",AT20=""),"",AT20-AS20)</f>
        <v/>
      </c>
    </row>
    <row r="21">
      <c r="A21" s="8" t="n">
        <v>14</v>
      </c>
      <c r="B21" s="9" t="n">
        <v>20260936</v>
      </c>
      <c r="C21" s="10" t="n">
        <v>18411</v>
      </c>
      <c r="D21" s="10" t="n">
        <v>18411</v>
      </c>
      <c r="E21" s="11">
        <f>IF(OR(C21="",D21=""),"",D21-C21)</f>
        <v/>
      </c>
      <c r="F21" s="10" t="n">
        <v>0</v>
      </c>
      <c r="G21" s="10" t="n">
        <v>0</v>
      </c>
      <c r="H21" s="11">
        <f>IF(OR(F21="",G21=""),"",G21-F21)</f>
        <v/>
      </c>
      <c r="I21" s="10" t="n">
        <v>18208</v>
      </c>
      <c r="J21" s="10" t="n">
        <v>18208</v>
      </c>
      <c r="K21" s="11">
        <f>IF(OR(I21="",J21=""),"",J21-I21)</f>
        <v/>
      </c>
      <c r="L21" s="10" t="n">
        <v>18411</v>
      </c>
      <c r="M21" s="10" t="n">
        <v>18411</v>
      </c>
      <c r="N21" s="11">
        <f>IF(OR(L21="",M21=""),"",M21-L21)</f>
        <v/>
      </c>
      <c r="O21" s="10" t="n">
        <v>10.741046</v>
      </c>
      <c r="P21" s="10" t="n">
        <v>7.353609</v>
      </c>
      <c r="Q21" s="11">
        <f>IF(OR(O21="",P21=""),"",P21-O21)</f>
        <v/>
      </c>
      <c r="R21" s="10" t="n">
        <v>28.2</v>
      </c>
      <c r="S21" s="10" t="n">
        <v>18.6</v>
      </c>
      <c r="T21" s="11">
        <f>IF(OR(R21="",S21=""),"",S21-R21)</f>
        <v/>
      </c>
      <c r="U21" s="12" t="n">
        <v>0.084026</v>
      </c>
      <c r="V21" s="12" t="n">
        <v>0.018956</v>
      </c>
      <c r="W21" s="13">
        <f>IF(OR(U21="",V21=""),"",V21-U21)</f>
        <v/>
      </c>
      <c r="X21" s="10" t="n">
        <v>21.9107</v>
      </c>
      <c r="Y21" s="10" t="n">
        <v>14.986933</v>
      </c>
      <c r="Z21" s="11">
        <f>IF(OR(X21="",Y21=""),"",Y21-X21)</f>
        <v/>
      </c>
      <c r="AA21" s="10" t="n">
        <v>214</v>
      </c>
      <c r="AB21" s="10" t="n">
        <v>161</v>
      </c>
      <c r="AC21" s="11">
        <f>IF(OR(AA21="",AB21=""),"",AB21-AA21)</f>
        <v/>
      </c>
      <c r="AD21" s="10" t="n">
        <v>63.680786</v>
      </c>
      <c r="AE21" s="10" t="n">
        <v>66.080786</v>
      </c>
      <c r="AF21" s="11">
        <f>IF(OR(AD21="",AE21=""),"",AE21-AD21)</f>
        <v/>
      </c>
      <c r="AG21" s="12" t="n">
        <v>0.260703</v>
      </c>
      <c r="AH21" s="12" t="n">
        <v>0.237011</v>
      </c>
      <c r="AI21" s="13">
        <f>IF(OR(AG21="",AH21=""),"",AH21-AG21)</f>
        <v/>
      </c>
      <c r="AJ21" s="12" t="n">
        <v>0.046637</v>
      </c>
      <c r="AK21" s="12" t="n">
        <v>0.050189</v>
      </c>
      <c r="AL21" s="13">
        <f>IF(OR(AJ21="",AK21=""),"",AK21-AJ21)</f>
        <v/>
      </c>
      <c r="AM21" s="10" t="n">
        <v>4336</v>
      </c>
      <c r="AN21" s="10" t="n">
        <v>4336</v>
      </c>
      <c r="AO21" s="11">
        <f>IF(OR(AM21="",AN21=""),"",AN21-AM21)</f>
        <v/>
      </c>
      <c r="AP21" s="10" t="n">
        <v>16.066882</v>
      </c>
      <c r="AQ21" s="10" t="n">
        <v>10.588768</v>
      </c>
      <c r="AR21" s="11">
        <f>IF(OR(AP21="",AQ21=""),"",AQ21-AP21)</f>
        <v/>
      </c>
      <c r="AS21" s="10" t="n">
        <v>36</v>
      </c>
      <c r="AT21" s="10" t="n">
        <v>24.6</v>
      </c>
      <c r="AU21" s="11">
        <f>IF(OR(AS21="",AT21=""),"",AT21-AS21)</f>
        <v/>
      </c>
    </row>
    <row r="22">
      <c r="A22" s="8" t="n">
        <v>15</v>
      </c>
      <c r="B22" s="9" t="n">
        <v>20260937</v>
      </c>
      <c r="C22" s="10" t="n">
        <v>18518</v>
      </c>
      <c r="D22" s="10" t="n">
        <v>18518</v>
      </c>
      <c r="E22" s="11">
        <f>IF(OR(C22="",D22=""),"",D22-C22)</f>
        <v/>
      </c>
      <c r="F22" s="10" t="n">
        <v>0</v>
      </c>
      <c r="G22" s="10" t="n">
        <v>0</v>
      </c>
      <c r="H22" s="11">
        <f>IF(OR(F22="",G22=""),"",G22-F22)</f>
        <v/>
      </c>
      <c r="I22" s="10" t="n">
        <v>18307</v>
      </c>
      <c r="J22" s="10" t="n">
        <v>18305</v>
      </c>
      <c r="K22" s="11">
        <f>IF(OR(I22="",J22=""),"",J22-I22)</f>
        <v/>
      </c>
      <c r="L22" s="10" t="n">
        <v>18518</v>
      </c>
      <c r="M22" s="10" t="n">
        <v>18518</v>
      </c>
      <c r="N22" s="11">
        <f>IF(OR(L22="",M22=""),"",M22-L22)</f>
        <v/>
      </c>
      <c r="O22" s="10" t="n">
        <v>11.165272</v>
      </c>
      <c r="P22" s="10" t="n">
        <v>7.514629</v>
      </c>
      <c r="Q22" s="11">
        <f>IF(OR(O22="",P22=""),"",P22-O22)</f>
        <v/>
      </c>
      <c r="R22" s="10" t="n">
        <v>28.8</v>
      </c>
      <c r="S22" s="10" t="n">
        <v>18.9</v>
      </c>
      <c r="T22" s="11">
        <f>IF(OR(R22="",S22=""),"",S22-R22)</f>
        <v/>
      </c>
      <c r="U22" s="12" t="n">
        <v>0.090183</v>
      </c>
      <c r="V22" s="12" t="n">
        <v>0.027865</v>
      </c>
      <c r="W22" s="13">
        <f>IF(OR(U22="",V22=""),"",V22-U22)</f>
        <v/>
      </c>
      <c r="X22" s="10" t="n">
        <v>22.917633</v>
      </c>
      <c r="Y22" s="10" t="n">
        <v>15.410867</v>
      </c>
      <c r="Z22" s="11">
        <f>IF(OR(X22="",Y22=""),"",Y22-X22)</f>
        <v/>
      </c>
      <c r="AA22" s="10" t="n">
        <v>246</v>
      </c>
      <c r="AB22" s="10" t="n">
        <v>183</v>
      </c>
      <c r="AC22" s="11">
        <f>IF(OR(AA22="",AB22=""),"",AB22-AA22)</f>
        <v/>
      </c>
      <c r="AD22" s="10" t="n">
        <v>67.580786</v>
      </c>
      <c r="AE22" s="10" t="n">
        <v>65.180786</v>
      </c>
      <c r="AF22" s="11">
        <f>IF(OR(AD22="",AE22=""),"",AE22-AD22)</f>
        <v/>
      </c>
      <c r="AG22" s="12" t="n">
        <v>0.262428</v>
      </c>
      <c r="AH22" s="12" t="n">
        <v>0.238615</v>
      </c>
      <c r="AI22" s="13">
        <f>IF(OR(AG22="",AH22=""),"",AH22-AG22)</f>
        <v/>
      </c>
      <c r="AJ22" s="12" t="n">
        <v>0.049376</v>
      </c>
      <c r="AK22" s="12" t="n">
        <v>0.052154</v>
      </c>
      <c r="AL22" s="13">
        <f>IF(OR(AJ22="",AK22=""),"",AK22-AJ22)</f>
        <v/>
      </c>
      <c r="AM22" s="10" t="n">
        <v>4412</v>
      </c>
      <c r="AN22" s="10" t="n">
        <v>4412</v>
      </c>
      <c r="AO22" s="11">
        <f>IF(OR(AM22="",AN22=""),"",AN22-AM22)</f>
        <v/>
      </c>
      <c r="AP22" s="10" t="n">
        <v>16.738803</v>
      </c>
      <c r="AQ22" s="10" t="n">
        <v>10.894447</v>
      </c>
      <c r="AR22" s="11">
        <f>IF(OR(AP22="",AQ22=""),"",AQ22-AP22)</f>
        <v/>
      </c>
      <c r="AS22" s="10" t="n">
        <v>37.5</v>
      </c>
      <c r="AT22" s="10" t="n">
        <v>26.1</v>
      </c>
      <c r="AU22" s="11">
        <f>IF(OR(AS22="",AT22=""),"",AT22-AS22)</f>
        <v/>
      </c>
    </row>
    <row r="23">
      <c r="A23" s="8" t="n">
        <v>16</v>
      </c>
      <c r="B23" s="9" t="n">
        <v>20260938</v>
      </c>
      <c r="C23" s="10" t="n">
        <v>18395</v>
      </c>
      <c r="D23" s="10" t="n">
        <v>18395</v>
      </c>
      <c r="E23" s="11">
        <f>IF(OR(C23="",D23=""),"",D23-C23)</f>
        <v/>
      </c>
      <c r="F23" s="10" t="n">
        <v>0</v>
      </c>
      <c r="G23" s="10" t="n">
        <v>0</v>
      </c>
      <c r="H23" s="11">
        <f>IF(OR(F23="",G23=""),"",G23-F23)</f>
        <v/>
      </c>
      <c r="I23" s="10" t="n">
        <v>18179</v>
      </c>
      <c r="J23" s="10" t="n">
        <v>18181</v>
      </c>
      <c r="K23" s="11">
        <f>IF(OR(I23="",J23=""),"",J23-I23)</f>
        <v/>
      </c>
      <c r="L23" s="10" t="n">
        <v>18395</v>
      </c>
      <c r="M23" s="10" t="n">
        <v>18395</v>
      </c>
      <c r="N23" s="11">
        <f>IF(OR(L23="",M23=""),"",M23-L23)</f>
        <v/>
      </c>
      <c r="O23" s="10" t="n">
        <v>10.909986</v>
      </c>
      <c r="P23" s="10" t="n">
        <v>7.424034</v>
      </c>
      <c r="Q23" s="11">
        <f>IF(OR(O23="",P23=""),"",P23-O23)</f>
        <v/>
      </c>
      <c r="R23" s="10" t="n">
        <v>28.5</v>
      </c>
      <c r="S23" s="10" t="n">
        <v>18.6</v>
      </c>
      <c r="T23" s="11">
        <f>IF(OR(R23="",S23=""),"",S23-R23)</f>
        <v/>
      </c>
      <c r="U23" s="12" t="n">
        <v>0.086491</v>
      </c>
      <c r="V23" s="12" t="n">
        <v>0.02131</v>
      </c>
      <c r="W23" s="13">
        <f>IF(OR(U23="",V23=""),"",V23-U23)</f>
        <v/>
      </c>
      <c r="X23" s="10" t="n">
        <v>22.230267</v>
      </c>
      <c r="Y23" s="10" t="n">
        <v>15.116667</v>
      </c>
      <c r="Z23" s="11">
        <f>IF(OR(X23="",Y23=""),"",Y23-X23)</f>
        <v/>
      </c>
      <c r="AA23" s="10" t="n">
        <v>240</v>
      </c>
      <c r="AB23" s="10" t="n">
        <v>175</v>
      </c>
      <c r="AC23" s="11">
        <f>IF(OR(AA23="",AB23=""),"",AB23-AA23)</f>
        <v/>
      </c>
      <c r="AD23" s="10" t="n">
        <v>65.48078599999999</v>
      </c>
      <c r="AE23" s="10" t="n">
        <v>63.380786</v>
      </c>
      <c r="AF23" s="11">
        <f>IF(OR(AD23="",AE23=""),"",AE23-AD23)</f>
        <v/>
      </c>
      <c r="AG23" s="12" t="n">
        <v>0.260084</v>
      </c>
      <c r="AH23" s="12" t="n">
        <v>0.236475</v>
      </c>
      <c r="AI23" s="13">
        <f>IF(OR(AG23="",AH23=""),"",AH23-AG23)</f>
        <v/>
      </c>
      <c r="AJ23" s="12" t="n">
        <v>0.046484</v>
      </c>
      <c r="AK23" s="12" t="n">
        <v>0.050487</v>
      </c>
      <c r="AL23" s="13">
        <f>IF(OR(AJ23="",AK23=""),"",AK23-AJ23)</f>
        <v/>
      </c>
      <c r="AM23" s="10" t="n">
        <v>4331</v>
      </c>
      <c r="AN23" s="10" t="n">
        <v>4331</v>
      </c>
      <c r="AO23" s="11">
        <f>IF(OR(AM23="",AN23=""),"",AN23-AM23)</f>
        <v/>
      </c>
      <c r="AP23" s="10" t="n">
        <v>16.424567</v>
      </c>
      <c r="AQ23" s="10" t="n">
        <v>11.06786</v>
      </c>
      <c r="AR23" s="11">
        <f>IF(OR(AP23="",AQ23=""),"",AQ23-AP23)</f>
        <v/>
      </c>
      <c r="AS23" s="10" t="n">
        <v>36.9</v>
      </c>
      <c r="AT23" s="10" t="n">
        <v>26.4</v>
      </c>
      <c r="AU23" s="11">
        <f>IF(OR(AS23="",AT23=""),"",AT23-AS23)</f>
        <v/>
      </c>
    </row>
    <row r="24">
      <c r="A24" s="8" t="n">
        <v>17</v>
      </c>
      <c r="B24" s="9" t="n">
        <v>20260939</v>
      </c>
      <c r="C24" s="10" t="n">
        <v>18393</v>
      </c>
      <c r="D24" s="10" t="n">
        <v>18393</v>
      </c>
      <c r="E24" s="11">
        <f>IF(OR(C24="",D24=""),"",D24-C24)</f>
        <v/>
      </c>
      <c r="F24" s="10" t="n">
        <v>0</v>
      </c>
      <c r="G24" s="10" t="n">
        <v>0</v>
      </c>
      <c r="H24" s="11">
        <f>IF(OR(F24="",G24=""),"",G24-F24)</f>
        <v/>
      </c>
      <c r="I24" s="10" t="n">
        <v>18183</v>
      </c>
      <c r="J24" s="10" t="n">
        <v>18186</v>
      </c>
      <c r="K24" s="11">
        <f>IF(OR(I24="",J24=""),"",J24-I24)</f>
        <v/>
      </c>
      <c r="L24" s="10" t="n">
        <v>18393</v>
      </c>
      <c r="M24" s="10" t="n">
        <v>18393</v>
      </c>
      <c r="N24" s="11">
        <f>IF(OR(L24="",M24=""),"",M24-L24)</f>
        <v/>
      </c>
      <c r="O24" s="10" t="n">
        <v>10.781259</v>
      </c>
      <c r="P24" s="10" t="n">
        <v>7.416392</v>
      </c>
      <c r="Q24" s="11">
        <f>IF(OR(O24="",P24=""),"",P24-O24)</f>
        <v/>
      </c>
      <c r="R24" s="10" t="n">
        <v>27.6</v>
      </c>
      <c r="S24" s="10" t="n">
        <v>18.3</v>
      </c>
      <c r="T24" s="11">
        <f>IF(OR(R24="",S24=""),"",S24-R24)</f>
        <v/>
      </c>
      <c r="U24" s="12" t="n">
        <v>0.08122699999999999</v>
      </c>
      <c r="V24" s="12" t="n">
        <v>0.022998</v>
      </c>
      <c r="W24" s="13">
        <f>IF(OR(U24="",V24=""),"",V24-U24)</f>
        <v/>
      </c>
      <c r="X24" s="10" t="n">
        <v>21.971467</v>
      </c>
      <c r="Y24" s="10" t="n">
        <v>15.103067</v>
      </c>
      <c r="Z24" s="11">
        <f>IF(OR(X24="",Y24=""),"",Y24-X24)</f>
        <v/>
      </c>
      <c r="AA24" s="10" t="n">
        <v>236</v>
      </c>
      <c r="AB24" s="10" t="n">
        <v>177</v>
      </c>
      <c r="AC24" s="11">
        <f>IF(OR(AA24="",AB24=""),"",AB24-AA24)</f>
        <v/>
      </c>
      <c r="AD24" s="10" t="n">
        <v>65.48078599999999</v>
      </c>
      <c r="AE24" s="10" t="n">
        <v>62.180786</v>
      </c>
      <c r="AF24" s="11">
        <f>IF(OR(AD24="",AE24=""),"",AE24-AD24)</f>
        <v/>
      </c>
      <c r="AG24" s="12" t="n">
        <v>0.26035</v>
      </c>
      <c r="AH24" s="12" t="n">
        <v>0.236706</v>
      </c>
      <c r="AI24" s="13">
        <f>IF(OR(AG24="",AH24=""),"",AH24-AG24)</f>
        <v/>
      </c>
      <c r="AJ24" s="12" t="n">
        <v>0.047594</v>
      </c>
      <c r="AK24" s="12" t="n">
        <v>0.050766</v>
      </c>
      <c r="AL24" s="13">
        <f>IF(OR(AJ24="",AK24=""),"",AK24-AJ24)</f>
        <v/>
      </c>
      <c r="AM24" s="10" t="n">
        <v>4386</v>
      </c>
      <c r="AN24" s="10" t="n">
        <v>4386</v>
      </c>
      <c r="AO24" s="11">
        <f>IF(OR(AM24="",AN24=""),"",AN24-AM24)</f>
        <v/>
      </c>
      <c r="AP24" s="10" t="n">
        <v>15.927223</v>
      </c>
      <c r="AQ24" s="10" t="n">
        <v>10.712038</v>
      </c>
      <c r="AR24" s="11">
        <f>IF(OR(AP24="",AQ24=""),"",AQ24-AP24)</f>
        <v/>
      </c>
      <c r="AS24" s="10" t="n">
        <v>36</v>
      </c>
      <c r="AT24" s="10" t="n">
        <v>25.2</v>
      </c>
      <c r="AU24" s="11">
        <f>IF(OR(AS24="",AT24=""),"",AT24-AS24)</f>
        <v/>
      </c>
    </row>
    <row r="25">
      <c r="A25" s="8" t="n">
        <v>18</v>
      </c>
      <c r="B25" s="9" t="n">
        <v>20260940</v>
      </c>
      <c r="C25" s="10" t="n">
        <v>18390</v>
      </c>
      <c r="D25" s="10" t="n">
        <v>18390</v>
      </c>
      <c r="E25" s="11">
        <f>IF(OR(C25="",D25=""),"",D25-C25)</f>
        <v/>
      </c>
      <c r="F25" s="10" t="n">
        <v>0</v>
      </c>
      <c r="G25" s="10" t="n">
        <v>0</v>
      </c>
      <c r="H25" s="11">
        <f>IF(OR(F25="",G25=""),"",G25-F25)</f>
        <v/>
      </c>
      <c r="I25" s="10" t="n">
        <v>18193</v>
      </c>
      <c r="J25" s="10" t="n">
        <v>18188</v>
      </c>
      <c r="K25" s="11">
        <f>IF(OR(I25="",J25=""),"",J25-I25)</f>
        <v/>
      </c>
      <c r="L25" s="10" t="n">
        <v>18390</v>
      </c>
      <c r="M25" s="10" t="n">
        <v>18390</v>
      </c>
      <c r="N25" s="11">
        <f>IF(OR(L25="",M25=""),"",M25-L25)</f>
        <v/>
      </c>
      <c r="O25" s="10" t="n">
        <v>10.77075</v>
      </c>
      <c r="P25" s="10" t="n">
        <v>7.244535</v>
      </c>
      <c r="Q25" s="11">
        <f>IF(OR(O25="",P25=""),"",P25-O25)</f>
        <v/>
      </c>
      <c r="R25" s="10" t="n">
        <v>27.9</v>
      </c>
      <c r="S25" s="10" t="n">
        <v>18</v>
      </c>
      <c r="T25" s="11">
        <f>IF(OR(R25="",S25=""),"",S25-R25)</f>
        <v/>
      </c>
      <c r="U25" s="12" t="n">
        <v>0.081349</v>
      </c>
      <c r="V25" s="12" t="n">
        <v>0.016368</v>
      </c>
      <c r="W25" s="13">
        <f>IF(OR(U25="",V25=""),"",V25-U25)</f>
        <v/>
      </c>
      <c r="X25" s="10" t="n">
        <v>21.957167</v>
      </c>
      <c r="Y25" s="10" t="n">
        <v>14.754533</v>
      </c>
      <c r="Z25" s="11">
        <f>IF(OR(X25="",Y25=""),"",Y25-X25)</f>
        <v/>
      </c>
      <c r="AA25" s="10" t="n">
        <v>224</v>
      </c>
      <c r="AB25" s="10" t="n">
        <v>162</v>
      </c>
      <c r="AC25" s="11">
        <f>IF(OR(AA25="",AB25=""),"",AB25-AA25)</f>
        <v/>
      </c>
      <c r="AD25" s="10" t="n">
        <v>67.28078600000001</v>
      </c>
      <c r="AE25" s="10" t="n">
        <v>63.980786</v>
      </c>
      <c r="AF25" s="11">
        <f>IF(OR(AD25="",AE25=""),"",AE25-AD25)</f>
        <v/>
      </c>
      <c r="AG25" s="12" t="n">
        <v>0.260789</v>
      </c>
      <c r="AH25" s="12" t="n">
        <v>0.237117</v>
      </c>
      <c r="AI25" s="13">
        <f>IF(OR(AG25="",AH25=""),"",AH25-AG25)</f>
        <v/>
      </c>
      <c r="AJ25" s="12" t="n">
        <v>0.048033</v>
      </c>
      <c r="AK25" s="12" t="n">
        <v>0.051446</v>
      </c>
      <c r="AL25" s="13">
        <f>IF(OR(AJ25="",AK25=""),"",AK25-AJ25)</f>
        <v/>
      </c>
      <c r="AM25" s="10" t="n">
        <v>4329</v>
      </c>
      <c r="AN25" s="10" t="n">
        <v>4329</v>
      </c>
      <c r="AO25" s="11">
        <f>IF(OR(AM25="",AN25=""),"",AN25-AM25)</f>
        <v/>
      </c>
      <c r="AP25" s="10" t="n">
        <v>16.02176</v>
      </c>
      <c r="AQ25" s="10" t="n">
        <v>10.651767</v>
      </c>
      <c r="AR25" s="11">
        <f>IF(OR(AP25="",AQ25=""),"",AQ25-AP25)</f>
        <v/>
      </c>
      <c r="AS25" s="10" t="n">
        <v>36</v>
      </c>
      <c r="AT25" s="10" t="n">
        <v>24.6</v>
      </c>
      <c r="AU25" s="11">
        <f>IF(OR(AS25="",AT25=""),"",AT25-AS25)</f>
        <v/>
      </c>
    </row>
    <row r="26">
      <c r="A26" s="8" t="n">
        <v>19</v>
      </c>
      <c r="B26" s="9" t="n">
        <v>20260941</v>
      </c>
      <c r="C26" s="10" t="n">
        <v>18346</v>
      </c>
      <c r="D26" s="10" t="n">
        <v>18346</v>
      </c>
      <c r="E26" s="11">
        <f>IF(OR(C26="",D26=""),"",D26-C26)</f>
        <v/>
      </c>
      <c r="F26" s="10" t="n">
        <v>0</v>
      </c>
      <c r="G26" s="10" t="n">
        <v>0</v>
      </c>
      <c r="H26" s="11">
        <f>IF(OR(F26="",G26=""),"",G26-F26)</f>
        <v/>
      </c>
      <c r="I26" s="10" t="n">
        <v>18142</v>
      </c>
      <c r="J26" s="10" t="n">
        <v>18145</v>
      </c>
      <c r="K26" s="11">
        <f>IF(OR(I26="",J26=""),"",J26-I26)</f>
        <v/>
      </c>
      <c r="L26" s="10" t="n">
        <v>18346</v>
      </c>
      <c r="M26" s="10" t="n">
        <v>18346</v>
      </c>
      <c r="N26" s="11">
        <f>IF(OR(L26="",M26=""),"",M26-L26)</f>
        <v/>
      </c>
      <c r="O26" s="10" t="n">
        <v>10.734558</v>
      </c>
      <c r="P26" s="10" t="n">
        <v>7.33095</v>
      </c>
      <c r="Q26" s="11">
        <f>IF(OR(O26="",P26=""),"",P26-O26)</f>
        <v/>
      </c>
      <c r="R26" s="10" t="n">
        <v>28.2</v>
      </c>
      <c r="S26" s="10" t="n">
        <v>18.3</v>
      </c>
      <c r="T26" s="11">
        <f>IF(OR(R26="",S26=""),"",S26-R26)</f>
        <v/>
      </c>
      <c r="U26" s="12" t="n">
        <v>0.083288</v>
      </c>
      <c r="V26" s="12" t="n">
        <v>0.019132</v>
      </c>
      <c r="W26" s="13">
        <f>IF(OR(U26="",V26=""),"",V26-U26)</f>
        <v/>
      </c>
      <c r="X26" s="10" t="n">
        <v>21.822633</v>
      </c>
      <c r="Y26" s="10" t="n">
        <v>14.900367</v>
      </c>
      <c r="Z26" s="11">
        <f>IF(OR(X26="",Y26=""),"",Y26-X26)</f>
        <v/>
      </c>
      <c r="AA26" s="10" t="n">
        <v>214</v>
      </c>
      <c r="AB26" s="10" t="n">
        <v>160</v>
      </c>
      <c r="AC26" s="11">
        <f>IF(OR(AA26="",AB26=""),"",AB26-AA26)</f>
        <v/>
      </c>
      <c r="AD26" s="10" t="n">
        <v>64.580786</v>
      </c>
      <c r="AE26" s="10" t="n">
        <v>63.080786</v>
      </c>
      <c r="AF26" s="11">
        <f>IF(OR(AD26="",AE26=""),"",AE26-AD26)</f>
        <v/>
      </c>
      <c r="AG26" s="12" t="n">
        <v>0.259418</v>
      </c>
      <c r="AH26" s="12" t="n">
        <v>0.235924</v>
      </c>
      <c r="AI26" s="13">
        <f>IF(OR(AG26="",AH26=""),"",AH26-AG26)</f>
        <v/>
      </c>
      <c r="AJ26" s="12" t="n">
        <v>0.046653</v>
      </c>
      <c r="AK26" s="12" t="n">
        <v>0.050332</v>
      </c>
      <c r="AL26" s="13">
        <f>IF(OR(AJ26="",AK26=""),"",AK26-AJ26)</f>
        <v/>
      </c>
      <c r="AM26" s="10" t="n">
        <v>4343</v>
      </c>
      <c r="AN26" s="10" t="n">
        <v>4343</v>
      </c>
      <c r="AO26" s="11">
        <f>IF(OR(AM26="",AN26=""),"",AN26-AM26)</f>
        <v/>
      </c>
      <c r="AP26" s="10" t="n">
        <v>15.670873</v>
      </c>
      <c r="AQ26" s="10" t="n">
        <v>10.509118</v>
      </c>
      <c r="AR26" s="11">
        <f>IF(OR(AP26="",AQ26=""),"",AQ26-AP26)</f>
        <v/>
      </c>
      <c r="AS26" s="10" t="n">
        <v>35.7</v>
      </c>
      <c r="AT26" s="10" t="n">
        <v>24.6</v>
      </c>
      <c r="AU26" s="11">
        <f>IF(OR(AS26="",AT26=""),"",AT26-AS26)</f>
        <v/>
      </c>
    </row>
    <row r="27">
      <c r="A27" s="8" t="n">
        <v>20</v>
      </c>
      <c r="B27" s="9" t="n">
        <v>20260942</v>
      </c>
      <c r="C27" s="10" t="n">
        <v>18375</v>
      </c>
      <c r="D27" s="10" t="n">
        <v>18375</v>
      </c>
      <c r="E27" s="11">
        <f>IF(OR(C27="",D27=""),"",D27-C27)</f>
        <v/>
      </c>
      <c r="F27" s="10" t="n">
        <v>0</v>
      </c>
      <c r="G27" s="10" t="n">
        <v>0</v>
      </c>
      <c r="H27" s="11">
        <f>IF(OR(F27="",G27=""),"",G27-F27)</f>
        <v/>
      </c>
      <c r="I27" s="10" t="n">
        <v>18154</v>
      </c>
      <c r="J27" s="10" t="n">
        <v>18163</v>
      </c>
      <c r="K27" s="11">
        <f>IF(OR(I27="",J27=""),"",J27-I27)</f>
        <v/>
      </c>
      <c r="L27" s="10" t="n">
        <v>18375</v>
      </c>
      <c r="M27" s="10" t="n">
        <v>18375</v>
      </c>
      <c r="N27" s="11">
        <f>IF(OR(L27="",M27=""),"",M27-L27)</f>
        <v/>
      </c>
      <c r="O27" s="10" t="n">
        <v>10.598988</v>
      </c>
      <c r="P27" s="10" t="n">
        <v>7.246253</v>
      </c>
      <c r="Q27" s="11">
        <f>IF(OR(O27="",P27=""),"",P27-O27)</f>
        <v/>
      </c>
      <c r="R27" s="10" t="n">
        <v>28.2</v>
      </c>
      <c r="S27" s="10" t="n">
        <v>18.3</v>
      </c>
      <c r="T27" s="11">
        <f>IF(OR(R27="",S27=""),"",S27-R27)</f>
        <v/>
      </c>
      <c r="U27" s="12" t="n">
        <v>0.083102</v>
      </c>
      <c r="V27" s="12" t="n">
        <v>0.018884</v>
      </c>
      <c r="W27" s="13">
        <f>IF(OR(U27="",V27=""),"",V27-U27)</f>
        <v/>
      </c>
      <c r="X27" s="10" t="n">
        <v>21.579767</v>
      </c>
      <c r="Y27" s="10" t="n">
        <v>14.744067</v>
      </c>
      <c r="Z27" s="11">
        <f>IF(OR(X27="",Y27=""),"",Y27-X27)</f>
        <v/>
      </c>
      <c r="AA27" s="10" t="n">
        <v>218</v>
      </c>
      <c r="AB27" s="10" t="n">
        <v>156</v>
      </c>
      <c r="AC27" s="11">
        <f>IF(OR(AA27="",AB27=""),"",AB27-AA27)</f>
        <v/>
      </c>
      <c r="AD27" s="10" t="n">
        <v>67.28078600000001</v>
      </c>
      <c r="AE27" s="10" t="n">
        <v>63.380786</v>
      </c>
      <c r="AF27" s="11">
        <f>IF(OR(AD27="",AE27=""),"",AE27-AD27)</f>
        <v/>
      </c>
      <c r="AG27" s="12" t="n">
        <v>0.259789</v>
      </c>
      <c r="AH27" s="12" t="n">
        <v>0.236247</v>
      </c>
      <c r="AI27" s="13">
        <f>IF(OR(AG27="",AH27=""),"",AH27-AG27)</f>
        <v/>
      </c>
      <c r="AJ27" s="12" t="n">
        <v>0.04732</v>
      </c>
      <c r="AK27" s="12" t="n">
        <v>0.050679</v>
      </c>
      <c r="AL27" s="13">
        <f>IF(OR(AJ27="",AK27=""),"",AK27-AJ27)</f>
        <v/>
      </c>
      <c r="AM27" s="10" t="n">
        <v>4376</v>
      </c>
      <c r="AN27" s="10" t="n">
        <v>4376</v>
      </c>
      <c r="AO27" s="11">
        <f>IF(OR(AM27="",AN27=""),"",AN27-AM27)</f>
        <v/>
      </c>
      <c r="AP27" s="10" t="n">
        <v>16.028953</v>
      </c>
      <c r="AQ27" s="10" t="n">
        <v>10.552994</v>
      </c>
      <c r="AR27" s="11">
        <f>IF(OR(AP27="",AQ27=""),"",AQ27-AP27)</f>
        <v/>
      </c>
      <c r="AS27" s="10" t="n">
        <v>36.3</v>
      </c>
      <c r="AT27" s="10" t="n">
        <v>24.9</v>
      </c>
      <c r="AU27" s="11">
        <f>IF(OR(AS27="",AT27=""),"",AT27-AS27)</f>
        <v/>
      </c>
    </row>
    <row r="28">
      <c r="A28" s="8" t="n">
        <v>21</v>
      </c>
      <c r="B28" s="9" t="n">
        <v>20260943</v>
      </c>
      <c r="C28" s="10" t="n">
        <v>18514</v>
      </c>
      <c r="D28" s="10" t="n">
        <v>18514</v>
      </c>
      <c r="E28" s="11">
        <f>IF(OR(C28="",D28=""),"",D28-C28)</f>
        <v/>
      </c>
      <c r="F28" s="10" t="n">
        <v>0</v>
      </c>
      <c r="G28" s="10" t="n">
        <v>0</v>
      </c>
      <c r="H28" s="11">
        <f>IF(OR(F28="",G28=""),"",G28-F28)</f>
        <v/>
      </c>
      <c r="I28" s="10" t="n">
        <v>18312</v>
      </c>
      <c r="J28" s="10" t="n">
        <v>18316</v>
      </c>
      <c r="K28" s="11">
        <f>IF(OR(I28="",J28=""),"",J28-I28)</f>
        <v/>
      </c>
      <c r="L28" s="10" t="n">
        <v>18514</v>
      </c>
      <c r="M28" s="10" t="n">
        <v>18514</v>
      </c>
      <c r="N28" s="11">
        <f>IF(OR(L28="",M28=""),"",M28-L28)</f>
        <v/>
      </c>
      <c r="O28" s="10" t="n">
        <v>10.99563</v>
      </c>
      <c r="P28" s="10" t="n">
        <v>7.452976</v>
      </c>
      <c r="Q28" s="11">
        <f>IF(OR(O28="",P28=""),"",P28-O28)</f>
        <v/>
      </c>
      <c r="R28" s="10" t="n">
        <v>28.8</v>
      </c>
      <c r="S28" s="10" t="n">
        <v>18.9</v>
      </c>
      <c r="T28" s="11">
        <f>IF(OR(R28="",S28=""),"",S28-R28)</f>
        <v/>
      </c>
      <c r="U28" s="12" t="n">
        <v>0.089392</v>
      </c>
      <c r="V28" s="12" t="n">
        <v>0.021767</v>
      </c>
      <c r="W28" s="13">
        <f>IF(OR(U28="",V28=""),"",V28-U28)</f>
        <v/>
      </c>
      <c r="X28" s="10" t="n">
        <v>22.570433</v>
      </c>
      <c r="Y28" s="10" t="n">
        <v>15.2865</v>
      </c>
      <c r="Z28" s="11">
        <f>IF(OR(X28="",Y28=""),"",Y28-X28)</f>
        <v/>
      </c>
      <c r="AA28" s="10" t="n">
        <v>234</v>
      </c>
      <c r="AB28" s="10" t="n">
        <v>168</v>
      </c>
      <c r="AC28" s="11">
        <f>IF(OR(AA28="",AB28=""),"",AB28-AA28)</f>
        <v/>
      </c>
      <c r="AD28" s="10" t="n">
        <v>63.980786</v>
      </c>
      <c r="AE28" s="10" t="n">
        <v>64.880786</v>
      </c>
      <c r="AF28" s="11">
        <f>IF(OR(AD28="",AE28=""),"",AE28-AD28)</f>
        <v/>
      </c>
      <c r="AG28" s="12" t="n">
        <v>0.262274</v>
      </c>
      <c r="AH28" s="12" t="n">
        <v>0.238455</v>
      </c>
      <c r="AI28" s="13">
        <f>IF(OR(AG28="",AH28=""),"",AH28-AG28)</f>
        <v/>
      </c>
      <c r="AJ28" s="12" t="n">
        <v>0.047797</v>
      </c>
      <c r="AK28" s="12" t="n">
        <v>0.052307</v>
      </c>
      <c r="AL28" s="13">
        <f>IF(OR(AJ28="",AK28=""),"",AK28-AJ28)</f>
        <v/>
      </c>
      <c r="AM28" s="10" t="n">
        <v>4385</v>
      </c>
      <c r="AN28" s="10" t="n">
        <v>4385</v>
      </c>
      <c r="AO28" s="11">
        <f>IF(OR(AM28="",AN28=""),"",AN28-AM28)</f>
        <v/>
      </c>
      <c r="AP28" s="10" t="n">
        <v>16.715644</v>
      </c>
      <c r="AQ28" s="10" t="n">
        <v>10.982463</v>
      </c>
      <c r="AR28" s="11">
        <f>IF(OR(AP28="",AQ28=""),"",AQ28-AP28)</f>
        <v/>
      </c>
      <c r="AS28" s="10" t="n">
        <v>37.5</v>
      </c>
      <c r="AT28" s="10" t="n">
        <v>26.1</v>
      </c>
      <c r="AU28" s="11">
        <f>IF(OR(AS28="",AT28=""),"",AT28-AS28)</f>
        <v/>
      </c>
    </row>
    <row r="29">
      <c r="A29" s="8" t="n">
        <v>22</v>
      </c>
      <c r="B29" s="9" t="n">
        <v>20260944</v>
      </c>
      <c r="C29" s="10" t="n">
        <v>18411</v>
      </c>
      <c r="D29" s="10" t="n">
        <v>18411</v>
      </c>
      <c r="E29" s="11">
        <f>IF(OR(C29="",D29=""),"",D29-C29)</f>
        <v/>
      </c>
      <c r="F29" s="10" t="n">
        <v>0</v>
      </c>
      <c r="G29" s="10" t="n">
        <v>0</v>
      </c>
      <c r="H29" s="11">
        <f>IF(OR(F29="",G29=""),"",G29-F29)</f>
        <v/>
      </c>
      <c r="I29" s="10" t="n">
        <v>18206</v>
      </c>
      <c r="J29" s="10" t="n">
        <v>18211</v>
      </c>
      <c r="K29" s="11">
        <f>IF(OR(I29="",J29=""),"",J29-I29)</f>
        <v/>
      </c>
      <c r="L29" s="10" t="n">
        <v>18411</v>
      </c>
      <c r="M29" s="10" t="n">
        <v>18411</v>
      </c>
      <c r="N29" s="11">
        <f>IF(OR(L29="",M29=""),"",M29-L29)</f>
        <v/>
      </c>
      <c r="O29" s="10" t="n">
        <v>10.752208</v>
      </c>
      <c r="P29" s="10" t="n">
        <v>7.241535</v>
      </c>
      <c r="Q29" s="11">
        <f>IF(OR(O29="",P29=""),"",P29-O29)</f>
        <v/>
      </c>
      <c r="R29" s="10" t="n">
        <v>27.6</v>
      </c>
      <c r="S29" s="10" t="n">
        <v>17.7</v>
      </c>
      <c r="T29" s="11">
        <f>IF(OR(R29="",S29=""),"",S29-R29)</f>
        <v/>
      </c>
      <c r="U29" s="12" t="n">
        <v>0.078594</v>
      </c>
      <c r="V29" s="12" t="n">
        <v>0.018413</v>
      </c>
      <c r="W29" s="13">
        <f>IF(OR(U29="",V29=""),"",V29-U29)</f>
        <v/>
      </c>
      <c r="X29" s="10" t="n">
        <v>21.933933</v>
      </c>
      <c r="Y29" s="10" t="n">
        <v>14.7616</v>
      </c>
      <c r="Z29" s="11">
        <f>IF(OR(X29="",Y29=""),"",Y29-X29)</f>
        <v/>
      </c>
      <c r="AA29" s="10" t="n">
        <v>232</v>
      </c>
      <c r="AB29" s="10" t="n">
        <v>169</v>
      </c>
      <c r="AC29" s="11">
        <f>IF(OR(AA29="",AB29=""),"",AB29-AA29)</f>
        <v/>
      </c>
      <c r="AD29" s="10" t="n">
        <v>69.680786</v>
      </c>
      <c r="AE29" s="10" t="n">
        <v>69.380786</v>
      </c>
      <c r="AF29" s="11">
        <f>IF(OR(AD29="",AE29=""),"",AE29-AD29)</f>
        <v/>
      </c>
      <c r="AG29" s="12" t="n">
        <v>0.261165</v>
      </c>
      <c r="AH29" s="12" t="n">
        <v>0.237425</v>
      </c>
      <c r="AI29" s="13">
        <f>IF(OR(AG29="",AH29=""),"",AH29-AG29)</f>
        <v/>
      </c>
      <c r="AJ29" s="12" t="n">
        <v>0.048473</v>
      </c>
      <c r="AK29" s="12" t="n">
        <v>0.051708</v>
      </c>
      <c r="AL29" s="13">
        <f>IF(OR(AJ29="",AK29=""),"",AK29-AJ29)</f>
        <v/>
      </c>
      <c r="AM29" s="10" t="n">
        <v>4365</v>
      </c>
      <c r="AN29" s="10" t="n">
        <v>4365</v>
      </c>
      <c r="AO29" s="11">
        <f>IF(OR(AM29="",AN29=""),"",AN29-AM29)</f>
        <v/>
      </c>
      <c r="AP29" s="10" t="n">
        <v>16.177388</v>
      </c>
      <c r="AQ29" s="10" t="n">
        <v>10.711065</v>
      </c>
      <c r="AR29" s="11">
        <f>IF(OR(AP29="",AQ29=""),"",AQ29-AP29)</f>
        <v/>
      </c>
      <c r="AS29" s="10" t="n">
        <v>35.7</v>
      </c>
      <c r="AT29" s="10" t="n">
        <v>25.5</v>
      </c>
      <c r="AU29" s="11">
        <f>IF(OR(AS29="",AT29=""),"",AT29-AS29)</f>
        <v/>
      </c>
    </row>
    <row r="30">
      <c r="A30" s="8" t="n">
        <v>23</v>
      </c>
      <c r="B30" s="9" t="n">
        <v>20260945</v>
      </c>
      <c r="C30" s="10" t="n">
        <v>18312</v>
      </c>
      <c r="D30" s="10" t="n">
        <v>18312</v>
      </c>
      <c r="E30" s="11">
        <f>IF(OR(C30="",D30=""),"",D30-C30)</f>
        <v/>
      </c>
      <c r="F30" s="10" t="n">
        <v>0</v>
      </c>
      <c r="G30" s="10" t="n">
        <v>0</v>
      </c>
      <c r="H30" s="11">
        <f>IF(OR(F30="",G30=""),"",G30-F30)</f>
        <v/>
      </c>
      <c r="I30" s="10" t="n">
        <v>18104</v>
      </c>
      <c r="J30" s="10" t="n">
        <v>18108</v>
      </c>
      <c r="K30" s="11">
        <f>IF(OR(I30="",J30=""),"",J30-I30)</f>
        <v/>
      </c>
      <c r="L30" s="10" t="n">
        <v>18312</v>
      </c>
      <c r="M30" s="10" t="n">
        <v>18312</v>
      </c>
      <c r="N30" s="11">
        <f>IF(OR(L30="",M30=""),"",M30-L30)</f>
        <v/>
      </c>
      <c r="O30" s="10" t="n">
        <v>10.860436</v>
      </c>
      <c r="P30" s="10" t="n">
        <v>7.422084</v>
      </c>
      <c r="Q30" s="11">
        <f>IF(OR(O30="",P30=""),"",P30-O30)</f>
        <v/>
      </c>
      <c r="R30" s="10" t="n">
        <v>28.8</v>
      </c>
      <c r="S30" s="10" t="n">
        <v>18.6</v>
      </c>
      <c r="T30" s="11">
        <f>IF(OR(R30="",S30=""),"",S30-R30)</f>
        <v/>
      </c>
      <c r="U30" s="12" t="n">
        <v>0.088139</v>
      </c>
      <c r="V30" s="12" t="n">
        <v>0.02097</v>
      </c>
      <c r="W30" s="13">
        <f>IF(OR(U30="",V30=""),"",V30-U30)</f>
        <v/>
      </c>
      <c r="X30" s="10" t="n">
        <v>22.0427</v>
      </c>
      <c r="Y30" s="10" t="n">
        <v>15.050167</v>
      </c>
      <c r="Z30" s="11">
        <f>IF(OR(X30="",Y30=""),"",Y30-X30)</f>
        <v/>
      </c>
      <c r="AA30" s="10" t="n">
        <v>231</v>
      </c>
      <c r="AB30" s="10" t="n">
        <v>170</v>
      </c>
      <c r="AC30" s="11">
        <f>IF(OR(AA30="",AB30=""),"",AB30-AA30)</f>
        <v/>
      </c>
      <c r="AD30" s="10" t="n">
        <v>63.980786</v>
      </c>
      <c r="AE30" s="10" t="n">
        <v>66.380786</v>
      </c>
      <c r="AF30" s="11">
        <f>IF(OR(AD30="",AE30=""),"",AE30-AD30)</f>
        <v/>
      </c>
      <c r="AG30" s="12" t="n">
        <v>0.259297</v>
      </c>
      <c r="AH30" s="12" t="n">
        <v>0.23577</v>
      </c>
      <c r="AI30" s="13">
        <f>IF(OR(AG30="",AH30=""),"",AH30-AG30)</f>
        <v/>
      </c>
      <c r="AJ30" s="12" t="n">
        <v>0.0465</v>
      </c>
      <c r="AK30" s="12" t="n">
        <v>0.049754</v>
      </c>
      <c r="AL30" s="13">
        <f>IF(OR(AJ30="",AK30=""),"",AK30-AJ30)</f>
        <v/>
      </c>
      <c r="AM30" s="10" t="n">
        <v>4355</v>
      </c>
      <c r="AN30" s="10" t="n">
        <v>4355</v>
      </c>
      <c r="AO30" s="11">
        <f>IF(OR(AM30="",AN30=""),"",AN30-AM30)</f>
        <v/>
      </c>
      <c r="AP30" s="10" t="n">
        <v>15.935752</v>
      </c>
      <c r="AQ30" s="10" t="n">
        <v>10.617382</v>
      </c>
      <c r="AR30" s="11">
        <f>IF(OR(AP30="",AQ30=""),"",AQ30-AP30)</f>
        <v/>
      </c>
      <c r="AS30" s="10" t="n">
        <v>36.9</v>
      </c>
      <c r="AT30" s="10" t="n">
        <v>25.2</v>
      </c>
      <c r="AU30" s="11">
        <f>IF(OR(AS30="",AT30=""),"",AT30-AS30)</f>
        <v/>
      </c>
    </row>
    <row r="31">
      <c r="A31" s="8" t="n">
        <v>24</v>
      </c>
      <c r="B31" s="9" t="n">
        <v>20260946</v>
      </c>
      <c r="C31" s="10" t="n">
        <v>18491</v>
      </c>
      <c r="D31" s="10" t="n">
        <v>18491</v>
      </c>
      <c r="E31" s="11">
        <f>IF(OR(C31="",D31=""),"",D31-C31)</f>
        <v/>
      </c>
      <c r="F31" s="10" t="n">
        <v>0</v>
      </c>
      <c r="G31" s="10" t="n">
        <v>0</v>
      </c>
      <c r="H31" s="11">
        <f>IF(OR(F31="",G31=""),"",G31-F31)</f>
        <v/>
      </c>
      <c r="I31" s="10" t="n">
        <v>18268</v>
      </c>
      <c r="J31" s="10" t="n">
        <v>18277</v>
      </c>
      <c r="K31" s="11">
        <f>IF(OR(I31="",J31=""),"",J31-I31)</f>
        <v/>
      </c>
      <c r="L31" s="10" t="n">
        <v>18491</v>
      </c>
      <c r="M31" s="10" t="n">
        <v>18491</v>
      </c>
      <c r="N31" s="11">
        <f>IF(OR(L31="",M31=""),"",M31-L31)</f>
        <v/>
      </c>
      <c r="O31" s="10" t="n">
        <v>11.350127</v>
      </c>
      <c r="P31" s="10" t="n">
        <v>7.702217</v>
      </c>
      <c r="Q31" s="11">
        <f>IF(OR(O31="",P31=""),"",P31-O31)</f>
        <v/>
      </c>
      <c r="R31" s="10" t="n">
        <v>29.7</v>
      </c>
      <c r="S31" s="10" t="n">
        <v>19.5</v>
      </c>
      <c r="T31" s="11">
        <f>IF(OR(R31="",S31=""),"",S31-R31)</f>
        <v/>
      </c>
      <c r="U31" s="12" t="n">
        <v>0.09815599999999999</v>
      </c>
      <c r="V31" s="12" t="n">
        <v>0.022876</v>
      </c>
      <c r="W31" s="13">
        <f>IF(OR(U31="",V31=""),"",V31-U31)</f>
        <v/>
      </c>
      <c r="X31" s="10" t="n">
        <v>23.2558</v>
      </c>
      <c r="Y31" s="10" t="n">
        <v>15.750967</v>
      </c>
      <c r="Z31" s="11">
        <f>IF(OR(X31="",Y31=""),"",Y31-X31)</f>
        <v/>
      </c>
      <c r="AA31" s="10" t="n">
        <v>213</v>
      </c>
      <c r="AB31" s="10" t="n">
        <v>146</v>
      </c>
      <c r="AC31" s="11">
        <f>IF(OR(AA31="",AB31=""),"",AB31-AA31)</f>
        <v/>
      </c>
      <c r="AD31" s="10" t="n">
        <v>65.48078599999999</v>
      </c>
      <c r="AE31" s="10" t="n">
        <v>66.680786</v>
      </c>
      <c r="AF31" s="11">
        <f>IF(OR(AD31="",AE31=""),"",AE31-AD31)</f>
        <v/>
      </c>
      <c r="AG31" s="12" t="n">
        <v>0.262022</v>
      </c>
      <c r="AH31" s="12" t="n">
        <v>0.23818</v>
      </c>
      <c r="AI31" s="13">
        <f>IF(OR(AG31="",AH31=""),"",AH31-AG31)</f>
        <v/>
      </c>
      <c r="AJ31" s="12" t="n">
        <v>0.047761</v>
      </c>
      <c r="AK31" s="12" t="n">
        <v>0.051747</v>
      </c>
      <c r="AL31" s="13">
        <f>IF(OR(AJ31="",AK31=""),"",AK31-AJ31)</f>
        <v/>
      </c>
      <c r="AM31" s="10" t="n">
        <v>4371</v>
      </c>
      <c r="AN31" s="10" t="n">
        <v>4371</v>
      </c>
      <c r="AO31" s="11">
        <f>IF(OR(AM31="",AN31=""),"",AN31-AM31)</f>
        <v/>
      </c>
      <c r="AP31" s="10" t="n">
        <v>16.489224</v>
      </c>
      <c r="AQ31" s="10" t="n">
        <v>10.653123</v>
      </c>
      <c r="AR31" s="11">
        <f>IF(OR(AP31="",AQ31=""),"",AQ31-AP31)</f>
        <v/>
      </c>
      <c r="AS31" s="10" t="n">
        <v>37.2</v>
      </c>
      <c r="AT31" s="10" t="n">
        <v>24.9</v>
      </c>
      <c r="AU31" s="11">
        <f>IF(OR(AS31="",AT31=""),"",AT31-AS31)</f>
        <v/>
      </c>
    </row>
    <row r="32">
      <c r="A32" s="8" t="n">
        <v>25</v>
      </c>
      <c r="B32" s="9" t="n">
        <v>20260947</v>
      </c>
      <c r="C32" s="10" t="n">
        <v>18332</v>
      </c>
      <c r="D32" s="10" t="n">
        <v>18332</v>
      </c>
      <c r="E32" s="11">
        <f>IF(OR(C32="",D32=""),"",D32-C32)</f>
        <v/>
      </c>
      <c r="F32" s="10" t="n">
        <v>0</v>
      </c>
      <c r="G32" s="10" t="n">
        <v>0</v>
      </c>
      <c r="H32" s="11">
        <f>IF(OR(F32="",G32=""),"",G32-F32)</f>
        <v/>
      </c>
      <c r="I32" s="10" t="n">
        <v>18120</v>
      </c>
      <c r="J32" s="10" t="n">
        <v>18117</v>
      </c>
      <c r="K32" s="11">
        <f>IF(OR(I32="",J32=""),"",J32-I32)</f>
        <v/>
      </c>
      <c r="L32" s="10" t="n">
        <v>18332</v>
      </c>
      <c r="M32" s="10" t="n">
        <v>18332</v>
      </c>
      <c r="N32" s="11">
        <f>IF(OR(L32="",M32=""),"",M32-L32)</f>
        <v/>
      </c>
      <c r="O32" s="10" t="n">
        <v>10.995429</v>
      </c>
      <c r="P32" s="10" t="n">
        <v>7.320412</v>
      </c>
      <c r="Q32" s="11">
        <f>IF(OR(O32="",P32=""),"",P32-O32)</f>
        <v/>
      </c>
      <c r="R32" s="10" t="n">
        <v>28.2</v>
      </c>
      <c r="S32" s="10" t="n">
        <v>18.3</v>
      </c>
      <c r="T32" s="11">
        <f>IF(OR(R32="",S32=""),"",S32-R32)</f>
        <v/>
      </c>
      <c r="U32" s="12" t="n">
        <v>0.085424</v>
      </c>
      <c r="V32" s="12" t="n">
        <v>0.018656</v>
      </c>
      <c r="W32" s="13">
        <f>IF(OR(U32="",V32=""),"",V32-U32)</f>
        <v/>
      </c>
      <c r="X32" s="10" t="n">
        <v>22.3252</v>
      </c>
      <c r="Y32" s="10" t="n">
        <v>14.852067</v>
      </c>
      <c r="Z32" s="11">
        <f>IF(OR(X32="",Y32=""),"",Y32-X32)</f>
        <v/>
      </c>
      <c r="AA32" s="10" t="n">
        <v>231</v>
      </c>
      <c r="AB32" s="10" t="n">
        <v>169</v>
      </c>
      <c r="AC32" s="11">
        <f>IF(OR(AA32="",AB32=""),"",AB32-AA32)</f>
        <v/>
      </c>
      <c r="AD32" s="10" t="n">
        <v>66.080786</v>
      </c>
      <c r="AE32" s="10" t="n">
        <v>64.880786</v>
      </c>
      <c r="AF32" s="11">
        <f>IF(OR(AD32="",AE32=""),"",AE32-AD32)</f>
        <v/>
      </c>
      <c r="AG32" s="12" t="n">
        <v>0.259609</v>
      </c>
      <c r="AH32" s="12" t="n">
        <v>0.236095</v>
      </c>
      <c r="AI32" s="13">
        <f>IF(OR(AG32="",AH32=""),"",AH32-AG32)</f>
        <v/>
      </c>
      <c r="AJ32" s="12" t="n">
        <v>0.046924</v>
      </c>
      <c r="AK32" s="12" t="n">
        <v>0.050012</v>
      </c>
      <c r="AL32" s="13">
        <f>IF(OR(AJ32="",AK32=""),"",AK32-AJ32)</f>
        <v/>
      </c>
      <c r="AM32" s="10" t="n">
        <v>4345</v>
      </c>
      <c r="AN32" s="10" t="n">
        <v>4345</v>
      </c>
      <c r="AO32" s="11">
        <f>IF(OR(AM32="",AN32=""),"",AN32-AM32)</f>
        <v/>
      </c>
      <c r="AP32" s="10" t="n">
        <v>16.914753</v>
      </c>
      <c r="AQ32" s="10" t="n">
        <v>10.820023</v>
      </c>
      <c r="AR32" s="11">
        <f>IF(OR(AP32="",AQ32=""),"",AQ32-AP32)</f>
        <v/>
      </c>
      <c r="AS32" s="10" t="n">
        <v>37.8</v>
      </c>
      <c r="AT32" s="10" t="n">
        <v>25.5</v>
      </c>
      <c r="AU32" s="11">
        <f>IF(OR(AS32="",AT32=""),"",AT32-AS32)</f>
        <v/>
      </c>
    </row>
    <row r="33">
      <c r="A33" s="8" t="n">
        <v>26</v>
      </c>
      <c r="B33" s="9" t="n">
        <v>20260948</v>
      </c>
      <c r="C33" s="10" t="n">
        <v>18364</v>
      </c>
      <c r="D33" s="10" t="n">
        <v>18364</v>
      </c>
      <c r="E33" s="11">
        <f>IF(OR(C33="",D33=""),"",D33-C33)</f>
        <v/>
      </c>
      <c r="F33" s="10" t="n">
        <v>0</v>
      </c>
      <c r="G33" s="10" t="n">
        <v>0</v>
      </c>
      <c r="H33" s="11">
        <f>IF(OR(F33="",G33=""),"",G33-F33)</f>
        <v/>
      </c>
      <c r="I33" s="10" t="n">
        <v>18157</v>
      </c>
      <c r="J33" s="10" t="n">
        <v>18160</v>
      </c>
      <c r="K33" s="11">
        <f>IF(OR(I33="",J33=""),"",J33-I33)</f>
        <v/>
      </c>
      <c r="L33" s="10" t="n">
        <v>18364</v>
      </c>
      <c r="M33" s="10" t="n">
        <v>18364</v>
      </c>
      <c r="N33" s="11">
        <f>IF(OR(L33="",M33=""),"",M33-L33)</f>
        <v/>
      </c>
      <c r="O33" s="10" t="n">
        <v>10.748067</v>
      </c>
      <c r="P33" s="10" t="n">
        <v>7.21271</v>
      </c>
      <c r="Q33" s="11">
        <f>IF(OR(O33="",P33=""),"",P33-O33)</f>
        <v/>
      </c>
      <c r="R33" s="10" t="n">
        <v>27.9</v>
      </c>
      <c r="S33" s="10" t="n">
        <v>17.7</v>
      </c>
      <c r="T33" s="11">
        <f>IF(OR(R33="",S33=""),"",S33-R33)</f>
        <v/>
      </c>
      <c r="U33" s="12" t="n">
        <v>0.080429</v>
      </c>
      <c r="V33" s="12" t="n">
        <v>0.01797</v>
      </c>
      <c r="W33" s="13">
        <f>IF(OR(U33="",V33=""),"",V33-U33)</f>
        <v/>
      </c>
      <c r="X33" s="10" t="n">
        <v>21.8718</v>
      </c>
      <c r="Y33" s="10" t="n">
        <v>14.672433</v>
      </c>
      <c r="Z33" s="11">
        <f>IF(OR(X33="",Y33=""),"",Y33-X33)</f>
        <v/>
      </c>
      <c r="AA33" s="10" t="n">
        <v>234</v>
      </c>
      <c r="AB33" s="10" t="n">
        <v>167</v>
      </c>
      <c r="AC33" s="11">
        <f>IF(OR(AA33="",AB33=""),"",AB33-AA33)</f>
        <v/>
      </c>
      <c r="AD33" s="10" t="n">
        <v>66.98078599999999</v>
      </c>
      <c r="AE33" s="10" t="n">
        <v>66.680786</v>
      </c>
      <c r="AF33" s="11">
        <f>IF(OR(AD33="",AE33=""),"",AE33-AD33)</f>
        <v/>
      </c>
      <c r="AG33" s="12" t="n">
        <v>0.259889</v>
      </c>
      <c r="AH33" s="12" t="n">
        <v>0.23633</v>
      </c>
      <c r="AI33" s="13">
        <f>IF(OR(AG33="",AH33=""),"",AH33-AG33)</f>
        <v/>
      </c>
      <c r="AJ33" s="12" t="n">
        <v>0.04712</v>
      </c>
      <c r="AK33" s="12" t="n">
        <v>0.051451</v>
      </c>
      <c r="AL33" s="13">
        <f>IF(OR(AJ33="",AK33=""),"",AK33-AJ33)</f>
        <v/>
      </c>
      <c r="AM33" s="10" t="n">
        <v>4314</v>
      </c>
      <c r="AN33" s="10" t="n">
        <v>4314</v>
      </c>
      <c r="AO33" s="11">
        <f>IF(OR(AM33="",AN33=""),"",AN33-AM33)</f>
        <v/>
      </c>
      <c r="AP33" s="10" t="n">
        <v>16.295063</v>
      </c>
      <c r="AQ33" s="10" t="n">
        <v>10.424757</v>
      </c>
      <c r="AR33" s="11">
        <f>IF(OR(AP33="",AQ33=""),"",AQ33-AP33)</f>
        <v/>
      </c>
      <c r="AS33" s="10" t="n">
        <v>36.3</v>
      </c>
      <c r="AT33" s="10" t="n">
        <v>24.6</v>
      </c>
      <c r="AU33" s="11">
        <f>IF(OR(AS33="",AT33=""),"",AT33-AS33)</f>
        <v/>
      </c>
    </row>
    <row r="34">
      <c r="A34" s="8" t="n">
        <v>27</v>
      </c>
      <c r="B34" s="9" t="n">
        <v>20260949</v>
      </c>
      <c r="C34" s="10" t="n">
        <v>18389</v>
      </c>
      <c r="D34" s="10" t="n">
        <v>18389</v>
      </c>
      <c r="E34" s="11">
        <f>IF(OR(C34="",D34=""),"",D34-C34)</f>
        <v/>
      </c>
      <c r="F34" s="10" t="n">
        <v>0</v>
      </c>
      <c r="G34" s="10" t="n">
        <v>0</v>
      </c>
      <c r="H34" s="11">
        <f>IF(OR(F34="",G34=""),"",G34-F34)</f>
        <v/>
      </c>
      <c r="I34" s="10" t="n">
        <v>18172</v>
      </c>
      <c r="J34" s="10" t="n">
        <v>18174</v>
      </c>
      <c r="K34" s="11">
        <f>IF(OR(I34="",J34=""),"",J34-I34)</f>
        <v/>
      </c>
      <c r="L34" s="10" t="n">
        <v>18389</v>
      </c>
      <c r="M34" s="10" t="n">
        <v>18389</v>
      </c>
      <c r="N34" s="11">
        <f>IF(OR(L34="",M34=""),"",M34-L34)</f>
        <v/>
      </c>
      <c r="O34" s="10" t="n">
        <v>11.27244</v>
      </c>
      <c r="P34" s="10" t="n">
        <v>7.702507</v>
      </c>
      <c r="Q34" s="11">
        <f>IF(OR(O34="",P34=""),"",P34-O34)</f>
        <v/>
      </c>
      <c r="R34" s="10" t="n">
        <v>29.1</v>
      </c>
      <c r="S34" s="10" t="n">
        <v>19.2</v>
      </c>
      <c r="T34" s="11">
        <f>IF(OR(R34="",S34=""),"",S34-R34)</f>
        <v/>
      </c>
      <c r="U34" s="12" t="n">
        <v>0.091957</v>
      </c>
      <c r="V34" s="12" t="n">
        <v>0.024689</v>
      </c>
      <c r="W34" s="13">
        <f>IF(OR(U34="",V34=""),"",V34-U34)</f>
        <v/>
      </c>
      <c r="X34" s="10" t="n">
        <v>22.9735</v>
      </c>
      <c r="Y34" s="10" t="n">
        <v>15.6903</v>
      </c>
      <c r="Z34" s="11">
        <f>IF(OR(X34="",Y34=""),"",Y34-X34)</f>
        <v/>
      </c>
      <c r="AA34" s="10" t="n">
        <v>248</v>
      </c>
      <c r="AB34" s="10" t="n">
        <v>200</v>
      </c>
      <c r="AC34" s="11">
        <f>IF(OR(AA34="",AB34=""),"",AB34-AA34)</f>
        <v/>
      </c>
      <c r="AD34" s="10" t="n">
        <v>64.880786</v>
      </c>
      <c r="AE34" s="10" t="n">
        <v>66.080786</v>
      </c>
      <c r="AF34" s="11">
        <f>IF(OR(AD34="",AE34=""),"",AE34-AD34)</f>
        <v/>
      </c>
      <c r="AG34" s="12" t="n">
        <v>0.260555</v>
      </c>
      <c r="AH34" s="12" t="n">
        <v>0.236949</v>
      </c>
      <c r="AI34" s="13">
        <f>IF(OR(AG34="",AH34=""),"",AH34-AG34)</f>
        <v/>
      </c>
      <c r="AJ34" s="12" t="n">
        <v>0.04606</v>
      </c>
      <c r="AK34" s="12" t="n">
        <v>0.050548</v>
      </c>
      <c r="AL34" s="13">
        <f>IF(OR(AJ34="",AK34=""),"",AK34-AJ34)</f>
        <v/>
      </c>
      <c r="AM34" s="10" t="n">
        <v>4349</v>
      </c>
      <c r="AN34" s="10" t="n">
        <v>4349</v>
      </c>
      <c r="AO34" s="11">
        <f>IF(OR(AM34="",AN34=""),"",AN34-AM34)</f>
        <v/>
      </c>
      <c r="AP34" s="10" t="n">
        <v>16.607473</v>
      </c>
      <c r="AQ34" s="10" t="n">
        <v>11.372269</v>
      </c>
      <c r="AR34" s="11">
        <f>IF(OR(AP34="",AQ34=""),"",AQ34-AP34)</f>
        <v/>
      </c>
      <c r="AS34" s="10" t="n">
        <v>36.9</v>
      </c>
      <c r="AT34" s="10" t="n">
        <v>27</v>
      </c>
      <c r="AU34" s="11">
        <f>IF(OR(AS34="",AT34=""),"",AT34-AS34)</f>
        <v/>
      </c>
    </row>
    <row r="35">
      <c r="A35" s="8" t="n">
        <v>28</v>
      </c>
      <c r="B35" s="9" t="n">
        <v>20260950</v>
      </c>
      <c r="C35" s="10" t="n">
        <v>18432</v>
      </c>
      <c r="D35" s="10" t="n">
        <v>18432</v>
      </c>
      <c r="E35" s="11">
        <f>IF(OR(C35="",D35=""),"",D35-C35)</f>
        <v/>
      </c>
      <c r="F35" s="10" t="n">
        <v>0</v>
      </c>
      <c r="G35" s="10" t="n">
        <v>0</v>
      </c>
      <c r="H35" s="11">
        <f>IF(OR(F35="",G35=""),"",G35-F35)</f>
        <v/>
      </c>
      <c r="I35" s="10" t="n">
        <v>18220</v>
      </c>
      <c r="J35" s="10" t="n">
        <v>18220</v>
      </c>
      <c r="K35" s="11">
        <f>IF(OR(I35="",J35=""),"",J35-I35)</f>
        <v/>
      </c>
      <c r="L35" s="10" t="n">
        <v>18432</v>
      </c>
      <c r="M35" s="10" t="n">
        <v>18432</v>
      </c>
      <c r="N35" s="11">
        <f>IF(OR(L35="",M35=""),"",M35-L35)</f>
        <v/>
      </c>
      <c r="O35" s="10" t="n">
        <v>11.007064</v>
      </c>
      <c r="P35" s="10" t="n">
        <v>7.4736</v>
      </c>
      <c r="Q35" s="11">
        <f>IF(OR(O35="",P35=""),"",P35-O35)</f>
        <v/>
      </c>
      <c r="R35" s="10" t="n">
        <v>28.5</v>
      </c>
      <c r="S35" s="10" t="n">
        <v>18.6</v>
      </c>
      <c r="T35" s="11">
        <f>IF(OR(R35="",S35=""),"",S35-R35)</f>
        <v/>
      </c>
      <c r="U35" s="12" t="n">
        <v>0.085775</v>
      </c>
      <c r="V35" s="12" t="n">
        <v>0.021484</v>
      </c>
      <c r="W35" s="13">
        <f>IF(OR(U35="",V35=""),"",V35-U35)</f>
        <v/>
      </c>
      <c r="X35" s="10" t="n">
        <v>22.483567</v>
      </c>
      <c r="Y35" s="10" t="n">
        <v>15.2547</v>
      </c>
      <c r="Z35" s="11">
        <f>IF(OR(X35="",Y35=""),"",Y35-X35)</f>
        <v/>
      </c>
      <c r="AA35" s="10" t="n">
        <v>241</v>
      </c>
      <c r="AB35" s="10" t="n">
        <v>181</v>
      </c>
      <c r="AC35" s="11">
        <f>IF(OR(AA35="",AB35=""),"",AB35-AA35)</f>
        <v/>
      </c>
      <c r="AD35" s="10" t="n">
        <v>64.580786</v>
      </c>
      <c r="AE35" s="10" t="n">
        <v>64.580786</v>
      </c>
      <c r="AF35" s="11">
        <f>IF(OR(AD35="",AE35=""),"",AE35-AD35)</f>
        <v/>
      </c>
      <c r="AG35" s="12" t="n">
        <v>0.261349</v>
      </c>
      <c r="AH35" s="12" t="n">
        <v>0.237619</v>
      </c>
      <c r="AI35" s="13">
        <f>IF(OR(AG35="",AH35=""),"",AH35-AG35)</f>
        <v/>
      </c>
      <c r="AJ35" s="12" t="n">
        <v>0.047015</v>
      </c>
      <c r="AK35" s="12" t="n">
        <v>0.050772</v>
      </c>
      <c r="AL35" s="13">
        <f>IF(OR(AJ35="",AK35=""),"",AK35-AJ35)</f>
        <v/>
      </c>
      <c r="AM35" s="10" t="n">
        <v>4373</v>
      </c>
      <c r="AN35" s="10" t="n">
        <v>4373</v>
      </c>
      <c r="AO35" s="11">
        <f>IF(OR(AM35="",AN35=""),"",AN35-AM35)</f>
        <v/>
      </c>
      <c r="AP35" s="10" t="n">
        <v>16.705397</v>
      </c>
      <c r="AQ35" s="10" t="n">
        <v>10.988452</v>
      </c>
      <c r="AR35" s="11">
        <f>IF(OR(AP35="",AQ35=""),"",AQ35-AP35)</f>
        <v/>
      </c>
      <c r="AS35" s="10" t="n">
        <v>37.5</v>
      </c>
      <c r="AT35" s="10" t="n">
        <v>25.8</v>
      </c>
      <c r="AU35" s="11">
        <f>IF(OR(AS35="",AT35=""),"",AT35-AS35)</f>
        <v/>
      </c>
    </row>
    <row r="36">
      <c r="A36" s="8" t="n">
        <v>29</v>
      </c>
      <c r="B36" s="9" t="n">
        <v>20260951</v>
      </c>
      <c r="C36" s="10" t="n">
        <v>18420</v>
      </c>
      <c r="D36" s="10" t="n">
        <v>18420</v>
      </c>
      <c r="E36" s="11">
        <f>IF(OR(C36="",D36=""),"",D36-C36)</f>
        <v/>
      </c>
      <c r="F36" s="10" t="n">
        <v>0</v>
      </c>
      <c r="G36" s="10" t="n">
        <v>0</v>
      </c>
      <c r="H36" s="11">
        <f>IF(OR(F36="",G36=""),"",G36-F36)</f>
        <v/>
      </c>
      <c r="I36" s="10" t="n">
        <v>18214</v>
      </c>
      <c r="J36" s="10" t="n">
        <v>18214</v>
      </c>
      <c r="K36" s="11">
        <f>IF(OR(I36="",J36=""),"",J36-I36)</f>
        <v/>
      </c>
      <c r="L36" s="10" t="n">
        <v>18420</v>
      </c>
      <c r="M36" s="10" t="n">
        <v>18420</v>
      </c>
      <c r="N36" s="11">
        <f>IF(OR(L36="",M36=""),"",M36-L36)</f>
        <v/>
      </c>
      <c r="O36" s="10" t="n">
        <v>10.703518</v>
      </c>
      <c r="P36" s="10" t="n">
        <v>7.300505</v>
      </c>
      <c r="Q36" s="11">
        <f>IF(OR(O36="",P36=""),"",P36-O36)</f>
        <v/>
      </c>
      <c r="R36" s="10" t="n">
        <v>27.6</v>
      </c>
      <c r="S36" s="10" t="n">
        <v>18</v>
      </c>
      <c r="T36" s="11">
        <f>IF(OR(R36="",S36=""),"",S36-R36)</f>
        <v/>
      </c>
      <c r="U36" s="12" t="n">
        <v>0.079262</v>
      </c>
      <c r="V36" s="12" t="n">
        <v>0.020358</v>
      </c>
      <c r="W36" s="13">
        <f>IF(OR(U36="",V36=""),"",V36-U36)</f>
        <v/>
      </c>
      <c r="X36" s="10" t="n">
        <v>21.835767</v>
      </c>
      <c r="Y36" s="10" t="n">
        <v>14.8736</v>
      </c>
      <c r="Z36" s="11">
        <f>IF(OR(X36="",Y36=""),"",Y36-X36)</f>
        <v/>
      </c>
      <c r="AA36" s="10" t="n">
        <v>240</v>
      </c>
      <c r="AB36" s="10" t="n">
        <v>176</v>
      </c>
      <c r="AC36" s="11">
        <f>IF(OR(AA36="",AB36=""),"",AB36-AA36)</f>
        <v/>
      </c>
      <c r="AD36" s="10" t="n">
        <v>65.76373700000001</v>
      </c>
      <c r="AE36" s="10" t="n">
        <v>63.663737</v>
      </c>
      <c r="AF36" s="11">
        <f>IF(OR(AD36="",AE36=""),"",AE36-AD36)</f>
        <v/>
      </c>
      <c r="AG36" s="12" t="n">
        <v>0.260637</v>
      </c>
      <c r="AH36" s="12" t="n">
        <v>0.236943</v>
      </c>
      <c r="AI36" s="13">
        <f>IF(OR(AG36="",AH36=""),"",AH36-AG36)</f>
        <v/>
      </c>
      <c r="AJ36" s="12" t="n">
        <v>0.047434</v>
      </c>
      <c r="AK36" s="12" t="n">
        <v>0.051357</v>
      </c>
      <c r="AL36" s="13">
        <f>IF(OR(AJ36="",AK36=""),"",AK36-AJ36)</f>
        <v/>
      </c>
      <c r="AM36" s="10" t="n">
        <v>4368</v>
      </c>
      <c r="AN36" s="10" t="n">
        <v>4368</v>
      </c>
      <c r="AO36" s="11">
        <f>IF(OR(AM36="",AN36=""),"",AN36-AM36)</f>
        <v/>
      </c>
      <c r="AP36" s="10" t="n">
        <v>15.945536</v>
      </c>
      <c r="AQ36" s="10" t="n">
        <v>10.528159</v>
      </c>
      <c r="AR36" s="11">
        <f>IF(OR(AP36="",AQ36=""),"",AQ36-AP36)</f>
        <v/>
      </c>
      <c r="AS36" s="10" t="n">
        <v>35.7</v>
      </c>
      <c r="AT36" s="10" t="n">
        <v>24.9</v>
      </c>
      <c r="AU36" s="11">
        <f>IF(OR(AS36="",AT36=""),"",AT36-AS36)</f>
        <v/>
      </c>
    </row>
    <row r="37">
      <c r="A37" s="8" t="n">
        <v>30</v>
      </c>
      <c r="B37" s="9" t="n">
        <v>20260952</v>
      </c>
      <c r="C37" s="10" t="n">
        <v>18383</v>
      </c>
      <c r="D37" s="10" t="n">
        <v>18383</v>
      </c>
      <c r="E37" s="11">
        <f>IF(OR(C37="",D37=""),"",D37-C37)</f>
        <v/>
      </c>
      <c r="F37" s="10" t="n">
        <v>0</v>
      </c>
      <c r="G37" s="10" t="n">
        <v>0</v>
      </c>
      <c r="H37" s="11">
        <f>IF(OR(F37="",G37=""),"",G37-F37)</f>
        <v/>
      </c>
      <c r="I37" s="10" t="n">
        <v>18186</v>
      </c>
      <c r="J37" s="10" t="n">
        <v>18182</v>
      </c>
      <c r="K37" s="11">
        <f>IF(OR(I37="",J37=""),"",J37-I37)</f>
        <v/>
      </c>
      <c r="L37" s="10" t="n">
        <v>18383</v>
      </c>
      <c r="M37" s="10" t="n">
        <v>18383</v>
      </c>
      <c r="N37" s="11">
        <f>IF(OR(L37="",M37=""),"",M37-L37)</f>
        <v/>
      </c>
      <c r="O37" s="10" t="n">
        <v>10.39722</v>
      </c>
      <c r="P37" s="10" t="n">
        <v>7.268607</v>
      </c>
      <c r="Q37" s="11">
        <f>IF(OR(O37="",P37=""),"",P37-O37)</f>
        <v/>
      </c>
      <c r="R37" s="10" t="n">
        <v>27.3</v>
      </c>
      <c r="S37" s="10" t="n">
        <v>18.3</v>
      </c>
      <c r="T37" s="11">
        <f>IF(OR(R37="",S37=""),"",S37-R37)</f>
        <v/>
      </c>
      <c r="U37" s="12" t="n">
        <v>0.07593999999999999</v>
      </c>
      <c r="V37" s="12" t="n">
        <v>0.015123</v>
      </c>
      <c r="W37" s="13">
        <f>IF(OR(U37="",V37=""),"",V37-U37)</f>
        <v/>
      </c>
      <c r="X37" s="10" t="n">
        <v>21.1824</v>
      </c>
      <c r="Y37" s="10" t="n">
        <v>14.802633</v>
      </c>
      <c r="Z37" s="11">
        <f>IF(OR(X37="",Y37=""),"",Y37-X37)</f>
        <v/>
      </c>
      <c r="AA37" s="10" t="n">
        <v>217</v>
      </c>
      <c r="AB37" s="10" t="n">
        <v>160</v>
      </c>
      <c r="AC37" s="11">
        <f>IF(OR(AA37="",AB37=""),"",AB37-AA37)</f>
        <v/>
      </c>
      <c r="AD37" s="10" t="n">
        <v>65.78078600000001</v>
      </c>
      <c r="AE37" s="10" t="n">
        <v>65.78078600000001</v>
      </c>
      <c r="AF37" s="11">
        <f>IF(OR(AD37="",AE37=""),"",AE37-AD37)</f>
        <v/>
      </c>
      <c r="AG37" s="12" t="n">
        <v>0.260454</v>
      </c>
      <c r="AH37" s="12" t="n">
        <v>0.236773</v>
      </c>
      <c r="AI37" s="13">
        <f>IF(OR(AG37="",AH37=""),"",AH37-AG37)</f>
        <v/>
      </c>
      <c r="AJ37" s="12" t="n">
        <v>0.04749</v>
      </c>
      <c r="AK37" s="12" t="n">
        <v>0.052111</v>
      </c>
      <c r="AL37" s="13">
        <f>IF(OR(AJ37="",AK37=""),"",AK37-AJ37)</f>
        <v/>
      </c>
      <c r="AM37" s="10" t="n">
        <v>4333</v>
      </c>
      <c r="AN37" s="10" t="n">
        <v>4333</v>
      </c>
      <c r="AO37" s="11">
        <f>IF(OR(AM37="",AN37=""),"",AN37-AM37)</f>
        <v/>
      </c>
      <c r="AP37" s="10" t="n">
        <v>15.237688</v>
      </c>
      <c r="AQ37" s="10" t="n">
        <v>10.441426</v>
      </c>
      <c r="AR37" s="11">
        <f>IF(OR(AP37="",AQ37=""),"",AQ37-AP37)</f>
        <v/>
      </c>
      <c r="AS37" s="10" t="n">
        <v>35.1</v>
      </c>
      <c r="AT37" s="10" t="n">
        <v>24.6</v>
      </c>
      <c r="AU37" s="11">
        <f>IF(OR(AS37="",AT37=""),"",AT37-AS37)</f>
        <v/>
      </c>
    </row>
    <row r="38">
      <c r="A38" s="8" t="n">
        <v>31</v>
      </c>
      <c r="B38" s="9" t="n">
        <v>20260953</v>
      </c>
      <c r="C38" s="10" t="n"/>
      <c r="D38" s="10" t="n"/>
      <c r="E38" s="11">
        <f>IF(OR(C38="",D38=""),"",D38-C38)</f>
        <v/>
      </c>
      <c r="F38" s="10" t="n"/>
      <c r="G38" s="10" t="n"/>
      <c r="H38" s="11">
        <f>IF(OR(F38="",G38=""),"",G38-F38)</f>
        <v/>
      </c>
      <c r="I38" s="10" t="n"/>
      <c r="J38" s="10" t="n"/>
      <c r="K38" s="11">
        <f>IF(OR(I38="",J38=""),"",J38-I38)</f>
        <v/>
      </c>
      <c r="L38" s="10" t="n"/>
      <c r="M38" s="10" t="n"/>
      <c r="N38" s="11">
        <f>IF(OR(L38="",M38=""),"",M38-L38)</f>
        <v/>
      </c>
      <c r="O38" s="10" t="n"/>
      <c r="P38" s="10" t="n"/>
      <c r="Q38" s="11">
        <f>IF(OR(O38="",P38=""),"",P38-O38)</f>
        <v/>
      </c>
      <c r="R38" s="10" t="n"/>
      <c r="S38" s="10" t="n"/>
      <c r="T38" s="11">
        <f>IF(OR(R38="",S38=""),"",S38-R38)</f>
        <v/>
      </c>
      <c r="U38" s="12" t="n"/>
      <c r="V38" s="12" t="n"/>
      <c r="W38" s="13">
        <f>IF(OR(U38="",V38=""),"",V38-U38)</f>
        <v/>
      </c>
      <c r="X38" s="10" t="n"/>
      <c r="Y38" s="10" t="n"/>
      <c r="Z38" s="11">
        <f>IF(OR(X38="",Y38=""),"",Y38-X38)</f>
        <v/>
      </c>
      <c r="AA38" s="10" t="n"/>
      <c r="AB38" s="10" t="n"/>
      <c r="AC38" s="11">
        <f>IF(OR(AA38="",AB38=""),"",AB38-AA38)</f>
        <v/>
      </c>
      <c r="AD38" s="10" t="n"/>
      <c r="AE38" s="10" t="n"/>
      <c r="AF38" s="11">
        <f>IF(OR(AD38="",AE38=""),"",AE38-AD38)</f>
        <v/>
      </c>
      <c r="AG38" s="12" t="n"/>
      <c r="AH38" s="12" t="n"/>
      <c r="AI38" s="13">
        <f>IF(OR(AG38="",AH38=""),"",AH38-AG38)</f>
        <v/>
      </c>
      <c r="AJ38" s="12" t="n"/>
      <c r="AK38" s="12" t="n"/>
      <c r="AL38" s="13">
        <f>IF(OR(AJ38="",AK38=""),"",AK38-AJ38)</f>
        <v/>
      </c>
      <c r="AM38" s="10" t="n"/>
      <c r="AN38" s="10" t="n"/>
      <c r="AO38" s="11">
        <f>IF(OR(AM38="",AN38=""),"",AN38-AM38)</f>
        <v/>
      </c>
      <c r="AP38" s="10" t="n"/>
      <c r="AQ38" s="10" t="n"/>
      <c r="AR38" s="11">
        <f>IF(OR(AP38="",AQ38=""),"",AQ38-AP38)</f>
        <v/>
      </c>
      <c r="AS38" s="10" t="n"/>
      <c r="AT38" s="10" t="n"/>
      <c r="AU38" s="11">
        <f>IF(OR(AS38="",AT38=""),"",AT38-AS38)</f>
        <v/>
      </c>
    </row>
    <row r="39">
      <c r="A39" s="8" t="n">
        <v>32</v>
      </c>
      <c r="B39" s="9" t="n">
        <v>20260954</v>
      </c>
      <c r="C39" s="10" t="n"/>
      <c r="D39" s="10" t="n"/>
      <c r="E39" s="11">
        <f>IF(OR(C39="",D39=""),"",D39-C39)</f>
        <v/>
      </c>
      <c r="F39" s="10" t="n"/>
      <c r="G39" s="10" t="n"/>
      <c r="H39" s="11">
        <f>IF(OR(F39="",G39=""),"",G39-F39)</f>
        <v/>
      </c>
      <c r="I39" s="10" t="n"/>
      <c r="J39" s="10" t="n"/>
      <c r="K39" s="11">
        <f>IF(OR(I39="",J39=""),"",J39-I39)</f>
        <v/>
      </c>
      <c r="L39" s="10" t="n"/>
      <c r="M39" s="10" t="n"/>
      <c r="N39" s="11">
        <f>IF(OR(L39="",M39=""),"",M39-L39)</f>
        <v/>
      </c>
      <c r="O39" s="10" t="n"/>
      <c r="P39" s="10" t="n"/>
      <c r="Q39" s="11">
        <f>IF(OR(O39="",P39=""),"",P39-O39)</f>
        <v/>
      </c>
      <c r="R39" s="10" t="n"/>
      <c r="S39" s="10" t="n"/>
      <c r="T39" s="11">
        <f>IF(OR(R39="",S39=""),"",S39-R39)</f>
        <v/>
      </c>
      <c r="U39" s="12" t="n"/>
      <c r="V39" s="12" t="n"/>
      <c r="W39" s="13">
        <f>IF(OR(U39="",V39=""),"",V39-U39)</f>
        <v/>
      </c>
      <c r="X39" s="10" t="n"/>
      <c r="Y39" s="10" t="n"/>
      <c r="Z39" s="11">
        <f>IF(OR(X39="",Y39=""),"",Y39-X39)</f>
        <v/>
      </c>
      <c r="AA39" s="10" t="n"/>
      <c r="AB39" s="10" t="n"/>
      <c r="AC39" s="11">
        <f>IF(OR(AA39="",AB39=""),"",AB39-AA39)</f>
        <v/>
      </c>
      <c r="AD39" s="10" t="n"/>
      <c r="AE39" s="10" t="n"/>
      <c r="AF39" s="11">
        <f>IF(OR(AD39="",AE39=""),"",AE39-AD39)</f>
        <v/>
      </c>
      <c r="AG39" s="12" t="n"/>
      <c r="AH39" s="12" t="n"/>
      <c r="AI39" s="13">
        <f>IF(OR(AG39="",AH39=""),"",AH39-AG39)</f>
        <v/>
      </c>
      <c r="AJ39" s="12" t="n"/>
      <c r="AK39" s="12" t="n"/>
      <c r="AL39" s="13">
        <f>IF(OR(AJ39="",AK39=""),"",AK39-AJ39)</f>
        <v/>
      </c>
      <c r="AM39" s="10" t="n"/>
      <c r="AN39" s="10" t="n"/>
      <c r="AO39" s="11">
        <f>IF(OR(AM39="",AN39=""),"",AN39-AM39)</f>
        <v/>
      </c>
      <c r="AP39" s="10" t="n"/>
      <c r="AQ39" s="10" t="n"/>
      <c r="AR39" s="11">
        <f>IF(OR(AP39="",AQ39=""),"",AQ39-AP39)</f>
        <v/>
      </c>
      <c r="AS39" s="10" t="n"/>
      <c r="AT39" s="10" t="n"/>
      <c r="AU39" s="11">
        <f>IF(OR(AS39="",AT39=""),"",AT39-AS39)</f>
        <v/>
      </c>
    </row>
    <row r="40">
      <c r="A40" s="8" t="n">
        <v>33</v>
      </c>
      <c r="B40" s="9" t="n">
        <v>20260955</v>
      </c>
      <c r="C40" s="10" t="n"/>
      <c r="D40" s="10" t="n"/>
      <c r="E40" s="11">
        <f>IF(OR(C40="",D40=""),"",D40-C40)</f>
        <v/>
      </c>
      <c r="F40" s="10" t="n"/>
      <c r="G40" s="10" t="n"/>
      <c r="H40" s="11">
        <f>IF(OR(F40="",G40=""),"",G40-F40)</f>
        <v/>
      </c>
      <c r="I40" s="10" t="n"/>
      <c r="J40" s="10" t="n"/>
      <c r="K40" s="11">
        <f>IF(OR(I40="",J40=""),"",J40-I40)</f>
        <v/>
      </c>
      <c r="L40" s="10" t="n"/>
      <c r="M40" s="10" t="n"/>
      <c r="N40" s="11">
        <f>IF(OR(L40="",M40=""),"",M40-L40)</f>
        <v/>
      </c>
      <c r="O40" s="10" t="n"/>
      <c r="P40" s="10" t="n"/>
      <c r="Q40" s="11">
        <f>IF(OR(O40="",P40=""),"",P40-O40)</f>
        <v/>
      </c>
      <c r="R40" s="10" t="n"/>
      <c r="S40" s="10" t="n"/>
      <c r="T40" s="11">
        <f>IF(OR(R40="",S40=""),"",S40-R40)</f>
        <v/>
      </c>
      <c r="U40" s="12" t="n"/>
      <c r="V40" s="12" t="n"/>
      <c r="W40" s="13">
        <f>IF(OR(U40="",V40=""),"",V40-U40)</f>
        <v/>
      </c>
      <c r="X40" s="10" t="n"/>
      <c r="Y40" s="10" t="n"/>
      <c r="Z40" s="11">
        <f>IF(OR(X40="",Y40=""),"",Y40-X40)</f>
        <v/>
      </c>
      <c r="AA40" s="10" t="n"/>
      <c r="AB40" s="10" t="n"/>
      <c r="AC40" s="11">
        <f>IF(OR(AA40="",AB40=""),"",AB40-AA40)</f>
        <v/>
      </c>
      <c r="AD40" s="10" t="n"/>
      <c r="AE40" s="10" t="n"/>
      <c r="AF40" s="11">
        <f>IF(OR(AD40="",AE40=""),"",AE40-AD40)</f>
        <v/>
      </c>
      <c r="AG40" s="12" t="n"/>
      <c r="AH40" s="12" t="n"/>
      <c r="AI40" s="13">
        <f>IF(OR(AG40="",AH40=""),"",AH40-AG40)</f>
        <v/>
      </c>
      <c r="AJ40" s="12" t="n"/>
      <c r="AK40" s="12" t="n"/>
      <c r="AL40" s="13">
        <f>IF(OR(AJ40="",AK40=""),"",AK40-AJ40)</f>
        <v/>
      </c>
      <c r="AM40" s="10" t="n"/>
      <c r="AN40" s="10" t="n"/>
      <c r="AO40" s="11">
        <f>IF(OR(AM40="",AN40=""),"",AN40-AM40)</f>
        <v/>
      </c>
      <c r="AP40" s="10" t="n"/>
      <c r="AQ40" s="10" t="n"/>
      <c r="AR40" s="11">
        <f>IF(OR(AP40="",AQ40=""),"",AQ40-AP40)</f>
        <v/>
      </c>
      <c r="AS40" s="10" t="n"/>
      <c r="AT40" s="10" t="n"/>
      <c r="AU40" s="11">
        <f>IF(OR(AS40="",AT40=""),"",AT40-AS40)</f>
        <v/>
      </c>
    </row>
    <row r="41">
      <c r="A41" s="8" t="n">
        <v>34</v>
      </c>
      <c r="B41" s="9" t="n">
        <v>20260956</v>
      </c>
      <c r="C41" s="10" t="n"/>
      <c r="D41" s="10" t="n"/>
      <c r="E41" s="11">
        <f>IF(OR(C41="",D41=""),"",D41-C41)</f>
        <v/>
      </c>
      <c r="F41" s="10" t="n"/>
      <c r="G41" s="10" t="n"/>
      <c r="H41" s="11">
        <f>IF(OR(F41="",G41=""),"",G41-F41)</f>
        <v/>
      </c>
      <c r="I41" s="10" t="n"/>
      <c r="J41" s="10" t="n"/>
      <c r="K41" s="11">
        <f>IF(OR(I41="",J41=""),"",J41-I41)</f>
        <v/>
      </c>
      <c r="L41" s="10" t="n"/>
      <c r="M41" s="10" t="n"/>
      <c r="N41" s="11">
        <f>IF(OR(L41="",M41=""),"",M41-L41)</f>
        <v/>
      </c>
      <c r="O41" s="10" t="n"/>
      <c r="P41" s="10" t="n"/>
      <c r="Q41" s="11">
        <f>IF(OR(O41="",P41=""),"",P41-O41)</f>
        <v/>
      </c>
      <c r="R41" s="10" t="n"/>
      <c r="S41" s="10" t="n"/>
      <c r="T41" s="11">
        <f>IF(OR(R41="",S41=""),"",S41-R41)</f>
        <v/>
      </c>
      <c r="U41" s="12" t="n"/>
      <c r="V41" s="12" t="n"/>
      <c r="W41" s="13">
        <f>IF(OR(U41="",V41=""),"",V41-U41)</f>
        <v/>
      </c>
      <c r="X41" s="10" t="n"/>
      <c r="Y41" s="10" t="n"/>
      <c r="Z41" s="11">
        <f>IF(OR(X41="",Y41=""),"",Y41-X41)</f>
        <v/>
      </c>
      <c r="AA41" s="10" t="n"/>
      <c r="AB41" s="10" t="n"/>
      <c r="AC41" s="11">
        <f>IF(OR(AA41="",AB41=""),"",AB41-AA41)</f>
        <v/>
      </c>
      <c r="AD41" s="10" t="n"/>
      <c r="AE41" s="10" t="n"/>
      <c r="AF41" s="11">
        <f>IF(OR(AD41="",AE41=""),"",AE41-AD41)</f>
        <v/>
      </c>
      <c r="AG41" s="12" t="n"/>
      <c r="AH41" s="12" t="n"/>
      <c r="AI41" s="13">
        <f>IF(OR(AG41="",AH41=""),"",AH41-AG41)</f>
        <v/>
      </c>
      <c r="AJ41" s="12" t="n"/>
      <c r="AK41" s="12" t="n"/>
      <c r="AL41" s="13">
        <f>IF(OR(AJ41="",AK41=""),"",AK41-AJ41)</f>
        <v/>
      </c>
      <c r="AM41" s="10" t="n"/>
      <c r="AN41" s="10" t="n"/>
      <c r="AO41" s="11">
        <f>IF(OR(AM41="",AN41=""),"",AN41-AM41)</f>
        <v/>
      </c>
      <c r="AP41" s="10" t="n"/>
      <c r="AQ41" s="10" t="n"/>
      <c r="AR41" s="11">
        <f>IF(OR(AP41="",AQ41=""),"",AQ41-AP41)</f>
        <v/>
      </c>
      <c r="AS41" s="10" t="n"/>
      <c r="AT41" s="10" t="n"/>
      <c r="AU41" s="11">
        <f>IF(OR(AS41="",AT41=""),"",AT41-AS41)</f>
        <v/>
      </c>
    </row>
    <row r="42">
      <c r="A42" s="8" t="n">
        <v>35</v>
      </c>
      <c r="B42" s="9" t="n">
        <v>20260957</v>
      </c>
      <c r="C42" s="10" t="n"/>
      <c r="D42" s="10" t="n"/>
      <c r="E42" s="11">
        <f>IF(OR(C42="",D42=""),"",D42-C42)</f>
        <v/>
      </c>
      <c r="F42" s="10" t="n"/>
      <c r="G42" s="10" t="n"/>
      <c r="H42" s="11">
        <f>IF(OR(F42="",G42=""),"",G42-F42)</f>
        <v/>
      </c>
      <c r="I42" s="10" t="n"/>
      <c r="J42" s="10" t="n"/>
      <c r="K42" s="11">
        <f>IF(OR(I42="",J42=""),"",J42-I42)</f>
        <v/>
      </c>
      <c r="L42" s="10" t="n"/>
      <c r="M42" s="10" t="n"/>
      <c r="N42" s="11">
        <f>IF(OR(L42="",M42=""),"",M42-L42)</f>
        <v/>
      </c>
      <c r="O42" s="10" t="n"/>
      <c r="P42" s="10" t="n"/>
      <c r="Q42" s="11">
        <f>IF(OR(O42="",P42=""),"",P42-O42)</f>
        <v/>
      </c>
      <c r="R42" s="10" t="n"/>
      <c r="S42" s="10" t="n"/>
      <c r="T42" s="11">
        <f>IF(OR(R42="",S42=""),"",S42-R42)</f>
        <v/>
      </c>
      <c r="U42" s="12" t="n"/>
      <c r="V42" s="12" t="n"/>
      <c r="W42" s="13">
        <f>IF(OR(U42="",V42=""),"",V42-U42)</f>
        <v/>
      </c>
      <c r="X42" s="10" t="n"/>
      <c r="Y42" s="10" t="n"/>
      <c r="Z42" s="11">
        <f>IF(OR(X42="",Y42=""),"",Y42-X42)</f>
        <v/>
      </c>
      <c r="AA42" s="10" t="n"/>
      <c r="AB42" s="10" t="n"/>
      <c r="AC42" s="11">
        <f>IF(OR(AA42="",AB42=""),"",AB42-AA42)</f>
        <v/>
      </c>
      <c r="AD42" s="10" t="n"/>
      <c r="AE42" s="10" t="n"/>
      <c r="AF42" s="11">
        <f>IF(OR(AD42="",AE42=""),"",AE42-AD42)</f>
        <v/>
      </c>
      <c r="AG42" s="12" t="n"/>
      <c r="AH42" s="12" t="n"/>
      <c r="AI42" s="13">
        <f>IF(OR(AG42="",AH42=""),"",AH42-AG42)</f>
        <v/>
      </c>
      <c r="AJ42" s="12" t="n"/>
      <c r="AK42" s="12" t="n"/>
      <c r="AL42" s="13">
        <f>IF(OR(AJ42="",AK42=""),"",AK42-AJ42)</f>
        <v/>
      </c>
      <c r="AM42" s="10" t="n"/>
      <c r="AN42" s="10" t="n"/>
      <c r="AO42" s="11">
        <f>IF(OR(AM42="",AN42=""),"",AN42-AM42)</f>
        <v/>
      </c>
      <c r="AP42" s="10" t="n"/>
      <c r="AQ42" s="10" t="n"/>
      <c r="AR42" s="11">
        <f>IF(OR(AP42="",AQ42=""),"",AQ42-AP42)</f>
        <v/>
      </c>
      <c r="AS42" s="10" t="n"/>
      <c r="AT42" s="10" t="n"/>
      <c r="AU42" s="11">
        <f>IF(OR(AS42="",AT42=""),"",AT42-AS42)</f>
        <v/>
      </c>
    </row>
    <row r="43">
      <c r="A43" s="8" t="n">
        <v>36</v>
      </c>
      <c r="B43" s="9" t="n">
        <v>20260958</v>
      </c>
      <c r="C43" s="10" t="n"/>
      <c r="D43" s="10" t="n"/>
      <c r="E43" s="11">
        <f>IF(OR(C43="",D43=""),"",D43-C43)</f>
        <v/>
      </c>
      <c r="F43" s="10" t="n"/>
      <c r="G43" s="10" t="n"/>
      <c r="H43" s="11">
        <f>IF(OR(F43="",G43=""),"",G43-F43)</f>
        <v/>
      </c>
      <c r="I43" s="10" t="n"/>
      <c r="J43" s="10" t="n"/>
      <c r="K43" s="11">
        <f>IF(OR(I43="",J43=""),"",J43-I43)</f>
        <v/>
      </c>
      <c r="L43" s="10" t="n"/>
      <c r="M43" s="10" t="n"/>
      <c r="N43" s="11">
        <f>IF(OR(L43="",M43=""),"",M43-L43)</f>
        <v/>
      </c>
      <c r="O43" s="10" t="n"/>
      <c r="P43" s="10" t="n"/>
      <c r="Q43" s="11">
        <f>IF(OR(O43="",P43=""),"",P43-O43)</f>
        <v/>
      </c>
      <c r="R43" s="10" t="n"/>
      <c r="S43" s="10" t="n"/>
      <c r="T43" s="11">
        <f>IF(OR(R43="",S43=""),"",S43-R43)</f>
        <v/>
      </c>
      <c r="U43" s="12" t="n"/>
      <c r="V43" s="12" t="n"/>
      <c r="W43" s="13">
        <f>IF(OR(U43="",V43=""),"",V43-U43)</f>
        <v/>
      </c>
      <c r="X43" s="10" t="n"/>
      <c r="Y43" s="10" t="n"/>
      <c r="Z43" s="11">
        <f>IF(OR(X43="",Y43=""),"",Y43-X43)</f>
        <v/>
      </c>
      <c r="AA43" s="10" t="n"/>
      <c r="AB43" s="10" t="n"/>
      <c r="AC43" s="11">
        <f>IF(OR(AA43="",AB43=""),"",AB43-AA43)</f>
        <v/>
      </c>
      <c r="AD43" s="10" t="n"/>
      <c r="AE43" s="10" t="n"/>
      <c r="AF43" s="11">
        <f>IF(OR(AD43="",AE43=""),"",AE43-AD43)</f>
        <v/>
      </c>
      <c r="AG43" s="12" t="n"/>
      <c r="AH43" s="12" t="n"/>
      <c r="AI43" s="13">
        <f>IF(OR(AG43="",AH43=""),"",AH43-AG43)</f>
        <v/>
      </c>
      <c r="AJ43" s="12" t="n"/>
      <c r="AK43" s="12" t="n"/>
      <c r="AL43" s="13">
        <f>IF(OR(AJ43="",AK43=""),"",AK43-AJ43)</f>
        <v/>
      </c>
      <c r="AM43" s="10" t="n"/>
      <c r="AN43" s="10" t="n"/>
      <c r="AO43" s="11">
        <f>IF(OR(AM43="",AN43=""),"",AN43-AM43)</f>
        <v/>
      </c>
      <c r="AP43" s="10" t="n"/>
      <c r="AQ43" s="10" t="n"/>
      <c r="AR43" s="11">
        <f>IF(OR(AP43="",AQ43=""),"",AQ43-AP43)</f>
        <v/>
      </c>
      <c r="AS43" s="10" t="n"/>
      <c r="AT43" s="10" t="n"/>
      <c r="AU43" s="11">
        <f>IF(OR(AS43="",AT43=""),"",AT43-AS43)</f>
        <v/>
      </c>
    </row>
    <row r="44">
      <c r="A44" s="8" t="n">
        <v>37</v>
      </c>
      <c r="B44" s="9" t="n">
        <v>20260959</v>
      </c>
      <c r="C44" s="10" t="n"/>
      <c r="D44" s="10" t="n"/>
      <c r="E44" s="11">
        <f>IF(OR(C44="",D44=""),"",D44-C44)</f>
        <v/>
      </c>
      <c r="F44" s="10" t="n"/>
      <c r="G44" s="10" t="n"/>
      <c r="H44" s="11">
        <f>IF(OR(F44="",G44=""),"",G44-F44)</f>
        <v/>
      </c>
      <c r="I44" s="10" t="n"/>
      <c r="J44" s="10" t="n"/>
      <c r="K44" s="11">
        <f>IF(OR(I44="",J44=""),"",J44-I44)</f>
        <v/>
      </c>
      <c r="L44" s="10" t="n"/>
      <c r="M44" s="10" t="n"/>
      <c r="N44" s="11">
        <f>IF(OR(L44="",M44=""),"",M44-L44)</f>
        <v/>
      </c>
      <c r="O44" s="10" t="n"/>
      <c r="P44" s="10" t="n"/>
      <c r="Q44" s="11">
        <f>IF(OR(O44="",P44=""),"",P44-O44)</f>
        <v/>
      </c>
      <c r="R44" s="10" t="n"/>
      <c r="S44" s="10" t="n"/>
      <c r="T44" s="11">
        <f>IF(OR(R44="",S44=""),"",S44-R44)</f>
        <v/>
      </c>
      <c r="U44" s="12" t="n"/>
      <c r="V44" s="12" t="n"/>
      <c r="W44" s="13">
        <f>IF(OR(U44="",V44=""),"",V44-U44)</f>
        <v/>
      </c>
      <c r="X44" s="10" t="n"/>
      <c r="Y44" s="10" t="n"/>
      <c r="Z44" s="11">
        <f>IF(OR(X44="",Y44=""),"",Y44-X44)</f>
        <v/>
      </c>
      <c r="AA44" s="10" t="n"/>
      <c r="AB44" s="10" t="n"/>
      <c r="AC44" s="11">
        <f>IF(OR(AA44="",AB44=""),"",AB44-AA44)</f>
        <v/>
      </c>
      <c r="AD44" s="10" t="n"/>
      <c r="AE44" s="10" t="n"/>
      <c r="AF44" s="11">
        <f>IF(OR(AD44="",AE44=""),"",AE44-AD44)</f>
        <v/>
      </c>
      <c r="AG44" s="12" t="n"/>
      <c r="AH44" s="12" t="n"/>
      <c r="AI44" s="13">
        <f>IF(OR(AG44="",AH44=""),"",AH44-AG44)</f>
        <v/>
      </c>
      <c r="AJ44" s="12" t="n"/>
      <c r="AK44" s="12" t="n"/>
      <c r="AL44" s="13">
        <f>IF(OR(AJ44="",AK44=""),"",AK44-AJ44)</f>
        <v/>
      </c>
      <c r="AM44" s="10" t="n"/>
      <c r="AN44" s="10" t="n"/>
      <c r="AO44" s="11">
        <f>IF(OR(AM44="",AN44=""),"",AN44-AM44)</f>
        <v/>
      </c>
      <c r="AP44" s="10" t="n"/>
      <c r="AQ44" s="10" t="n"/>
      <c r="AR44" s="11">
        <f>IF(OR(AP44="",AQ44=""),"",AQ44-AP44)</f>
        <v/>
      </c>
      <c r="AS44" s="10" t="n"/>
      <c r="AT44" s="10" t="n"/>
      <c r="AU44" s="11">
        <f>IF(OR(AS44="",AT44=""),"",AT44-AS44)</f>
        <v/>
      </c>
    </row>
    <row r="45">
      <c r="A45" s="8" t="n">
        <v>38</v>
      </c>
      <c r="B45" s="9" t="n">
        <v>20260960</v>
      </c>
      <c r="C45" s="10" t="n"/>
      <c r="D45" s="10" t="n"/>
      <c r="E45" s="11">
        <f>IF(OR(C45="",D45=""),"",D45-C45)</f>
        <v/>
      </c>
      <c r="F45" s="10" t="n"/>
      <c r="G45" s="10" t="n"/>
      <c r="H45" s="11">
        <f>IF(OR(F45="",G45=""),"",G45-F45)</f>
        <v/>
      </c>
      <c r="I45" s="10" t="n"/>
      <c r="J45" s="10" t="n"/>
      <c r="K45" s="11">
        <f>IF(OR(I45="",J45=""),"",J45-I45)</f>
        <v/>
      </c>
      <c r="L45" s="10" t="n"/>
      <c r="M45" s="10" t="n"/>
      <c r="N45" s="11">
        <f>IF(OR(L45="",M45=""),"",M45-L45)</f>
        <v/>
      </c>
      <c r="O45" s="10" t="n"/>
      <c r="P45" s="10" t="n"/>
      <c r="Q45" s="11">
        <f>IF(OR(O45="",P45=""),"",P45-O45)</f>
        <v/>
      </c>
      <c r="R45" s="10" t="n"/>
      <c r="S45" s="10" t="n"/>
      <c r="T45" s="11">
        <f>IF(OR(R45="",S45=""),"",S45-R45)</f>
        <v/>
      </c>
      <c r="U45" s="12" t="n"/>
      <c r="V45" s="12" t="n"/>
      <c r="W45" s="13">
        <f>IF(OR(U45="",V45=""),"",V45-U45)</f>
        <v/>
      </c>
      <c r="X45" s="10" t="n"/>
      <c r="Y45" s="10" t="n"/>
      <c r="Z45" s="11">
        <f>IF(OR(X45="",Y45=""),"",Y45-X45)</f>
        <v/>
      </c>
      <c r="AA45" s="10" t="n"/>
      <c r="AB45" s="10" t="n"/>
      <c r="AC45" s="11">
        <f>IF(OR(AA45="",AB45=""),"",AB45-AA45)</f>
        <v/>
      </c>
      <c r="AD45" s="10" t="n"/>
      <c r="AE45" s="10" t="n"/>
      <c r="AF45" s="11">
        <f>IF(OR(AD45="",AE45=""),"",AE45-AD45)</f>
        <v/>
      </c>
      <c r="AG45" s="12" t="n"/>
      <c r="AH45" s="12" t="n"/>
      <c r="AI45" s="13">
        <f>IF(OR(AG45="",AH45=""),"",AH45-AG45)</f>
        <v/>
      </c>
      <c r="AJ45" s="12" t="n"/>
      <c r="AK45" s="12" t="n"/>
      <c r="AL45" s="13">
        <f>IF(OR(AJ45="",AK45=""),"",AK45-AJ45)</f>
        <v/>
      </c>
      <c r="AM45" s="10" t="n"/>
      <c r="AN45" s="10" t="n"/>
      <c r="AO45" s="11">
        <f>IF(OR(AM45="",AN45=""),"",AN45-AM45)</f>
        <v/>
      </c>
      <c r="AP45" s="10" t="n"/>
      <c r="AQ45" s="10" t="n"/>
      <c r="AR45" s="11">
        <f>IF(OR(AP45="",AQ45=""),"",AQ45-AP45)</f>
        <v/>
      </c>
      <c r="AS45" s="10" t="n"/>
      <c r="AT45" s="10" t="n"/>
      <c r="AU45" s="11">
        <f>IF(OR(AS45="",AT45=""),"",AT45-AS45)</f>
        <v/>
      </c>
    </row>
    <row r="46">
      <c r="A46" s="8" t="n">
        <v>39</v>
      </c>
      <c r="B46" s="9" t="n">
        <v>20260961</v>
      </c>
      <c r="C46" s="10" t="n"/>
      <c r="D46" s="10" t="n"/>
      <c r="E46" s="11">
        <f>IF(OR(C46="",D46=""),"",D46-C46)</f>
        <v/>
      </c>
      <c r="F46" s="10" t="n"/>
      <c r="G46" s="10" t="n"/>
      <c r="H46" s="11">
        <f>IF(OR(F46="",G46=""),"",G46-F46)</f>
        <v/>
      </c>
      <c r="I46" s="10" t="n"/>
      <c r="J46" s="10" t="n"/>
      <c r="K46" s="11">
        <f>IF(OR(I46="",J46=""),"",J46-I46)</f>
        <v/>
      </c>
      <c r="L46" s="10" t="n"/>
      <c r="M46" s="10" t="n"/>
      <c r="N46" s="11">
        <f>IF(OR(L46="",M46=""),"",M46-L46)</f>
        <v/>
      </c>
      <c r="O46" s="10" t="n"/>
      <c r="P46" s="10" t="n"/>
      <c r="Q46" s="11">
        <f>IF(OR(O46="",P46=""),"",P46-O46)</f>
        <v/>
      </c>
      <c r="R46" s="10" t="n"/>
      <c r="S46" s="10" t="n"/>
      <c r="T46" s="11">
        <f>IF(OR(R46="",S46=""),"",S46-R46)</f>
        <v/>
      </c>
      <c r="U46" s="12" t="n"/>
      <c r="V46" s="12" t="n"/>
      <c r="W46" s="13">
        <f>IF(OR(U46="",V46=""),"",V46-U46)</f>
        <v/>
      </c>
      <c r="X46" s="10" t="n"/>
      <c r="Y46" s="10" t="n"/>
      <c r="Z46" s="11">
        <f>IF(OR(X46="",Y46=""),"",Y46-X46)</f>
        <v/>
      </c>
      <c r="AA46" s="10" t="n"/>
      <c r="AB46" s="10" t="n"/>
      <c r="AC46" s="11">
        <f>IF(OR(AA46="",AB46=""),"",AB46-AA46)</f>
        <v/>
      </c>
      <c r="AD46" s="10" t="n"/>
      <c r="AE46" s="10" t="n"/>
      <c r="AF46" s="11">
        <f>IF(OR(AD46="",AE46=""),"",AE46-AD46)</f>
        <v/>
      </c>
      <c r="AG46" s="12" t="n"/>
      <c r="AH46" s="12" t="n"/>
      <c r="AI46" s="13">
        <f>IF(OR(AG46="",AH46=""),"",AH46-AG46)</f>
        <v/>
      </c>
      <c r="AJ46" s="12" t="n"/>
      <c r="AK46" s="12" t="n"/>
      <c r="AL46" s="13">
        <f>IF(OR(AJ46="",AK46=""),"",AK46-AJ46)</f>
        <v/>
      </c>
      <c r="AM46" s="10" t="n"/>
      <c r="AN46" s="10" t="n"/>
      <c r="AO46" s="11">
        <f>IF(OR(AM46="",AN46=""),"",AN46-AM46)</f>
        <v/>
      </c>
      <c r="AP46" s="10" t="n"/>
      <c r="AQ46" s="10" t="n"/>
      <c r="AR46" s="11">
        <f>IF(OR(AP46="",AQ46=""),"",AQ46-AP46)</f>
        <v/>
      </c>
      <c r="AS46" s="10" t="n"/>
      <c r="AT46" s="10" t="n"/>
      <c r="AU46" s="11">
        <f>IF(OR(AS46="",AT46=""),"",AT46-AS46)</f>
        <v/>
      </c>
    </row>
    <row r="47">
      <c r="A47" s="8" t="n">
        <v>40</v>
      </c>
      <c r="B47" s="9" t="n">
        <v>20260962</v>
      </c>
      <c r="C47" s="10" t="n"/>
      <c r="D47" s="10" t="n"/>
      <c r="E47" s="11">
        <f>IF(OR(C47="",D47=""),"",D47-C47)</f>
        <v/>
      </c>
      <c r="F47" s="10" t="n"/>
      <c r="G47" s="10" t="n"/>
      <c r="H47" s="11">
        <f>IF(OR(F47="",G47=""),"",G47-F47)</f>
        <v/>
      </c>
      <c r="I47" s="10" t="n"/>
      <c r="J47" s="10" t="n"/>
      <c r="K47" s="11">
        <f>IF(OR(I47="",J47=""),"",J47-I47)</f>
        <v/>
      </c>
      <c r="L47" s="10" t="n"/>
      <c r="M47" s="10" t="n"/>
      <c r="N47" s="11">
        <f>IF(OR(L47="",M47=""),"",M47-L47)</f>
        <v/>
      </c>
      <c r="O47" s="10" t="n"/>
      <c r="P47" s="10" t="n"/>
      <c r="Q47" s="11">
        <f>IF(OR(O47="",P47=""),"",P47-O47)</f>
        <v/>
      </c>
      <c r="R47" s="10" t="n"/>
      <c r="S47" s="10" t="n"/>
      <c r="T47" s="11">
        <f>IF(OR(R47="",S47=""),"",S47-R47)</f>
        <v/>
      </c>
      <c r="U47" s="12" t="n"/>
      <c r="V47" s="12" t="n"/>
      <c r="W47" s="13">
        <f>IF(OR(U47="",V47=""),"",V47-U47)</f>
        <v/>
      </c>
      <c r="X47" s="10" t="n"/>
      <c r="Y47" s="10" t="n"/>
      <c r="Z47" s="11">
        <f>IF(OR(X47="",Y47=""),"",Y47-X47)</f>
        <v/>
      </c>
      <c r="AA47" s="10" t="n"/>
      <c r="AB47" s="10" t="n"/>
      <c r="AC47" s="11">
        <f>IF(OR(AA47="",AB47=""),"",AB47-AA47)</f>
        <v/>
      </c>
      <c r="AD47" s="10" t="n"/>
      <c r="AE47" s="10" t="n"/>
      <c r="AF47" s="11">
        <f>IF(OR(AD47="",AE47=""),"",AE47-AD47)</f>
        <v/>
      </c>
      <c r="AG47" s="12" t="n"/>
      <c r="AH47" s="12" t="n"/>
      <c r="AI47" s="13">
        <f>IF(OR(AG47="",AH47=""),"",AH47-AG47)</f>
        <v/>
      </c>
      <c r="AJ47" s="12" t="n"/>
      <c r="AK47" s="12" t="n"/>
      <c r="AL47" s="13">
        <f>IF(OR(AJ47="",AK47=""),"",AK47-AJ47)</f>
        <v/>
      </c>
      <c r="AM47" s="10" t="n"/>
      <c r="AN47" s="10" t="n"/>
      <c r="AO47" s="11">
        <f>IF(OR(AM47="",AN47=""),"",AN47-AM47)</f>
        <v/>
      </c>
      <c r="AP47" s="10" t="n"/>
      <c r="AQ47" s="10" t="n"/>
      <c r="AR47" s="11">
        <f>IF(OR(AP47="",AQ47=""),"",AQ47-AP47)</f>
        <v/>
      </c>
      <c r="AS47" s="10" t="n"/>
      <c r="AT47" s="10" t="n"/>
      <c r="AU47" s="11">
        <f>IF(OR(AS47="",AT47=""),"",AT47-AS47)</f>
        <v/>
      </c>
    </row>
    <row r="48">
      <c r="A48" s="8" t="n">
        <v>41</v>
      </c>
      <c r="B48" s="9" t="n">
        <v>20260963</v>
      </c>
      <c r="C48" s="10" t="n"/>
      <c r="D48" s="10" t="n"/>
      <c r="E48" s="11">
        <f>IF(OR(C48="",D48=""),"",D48-C48)</f>
        <v/>
      </c>
      <c r="F48" s="10" t="n"/>
      <c r="G48" s="10" t="n"/>
      <c r="H48" s="11">
        <f>IF(OR(F48="",G48=""),"",G48-F48)</f>
        <v/>
      </c>
      <c r="I48" s="10" t="n"/>
      <c r="J48" s="10" t="n"/>
      <c r="K48" s="11">
        <f>IF(OR(I48="",J48=""),"",J48-I48)</f>
        <v/>
      </c>
      <c r="L48" s="10" t="n"/>
      <c r="M48" s="10" t="n"/>
      <c r="N48" s="11">
        <f>IF(OR(L48="",M48=""),"",M48-L48)</f>
        <v/>
      </c>
      <c r="O48" s="10" t="n"/>
      <c r="P48" s="10" t="n"/>
      <c r="Q48" s="11">
        <f>IF(OR(O48="",P48=""),"",P48-O48)</f>
        <v/>
      </c>
      <c r="R48" s="10" t="n"/>
      <c r="S48" s="10" t="n"/>
      <c r="T48" s="11">
        <f>IF(OR(R48="",S48=""),"",S48-R48)</f>
        <v/>
      </c>
      <c r="U48" s="12" t="n"/>
      <c r="V48" s="12" t="n"/>
      <c r="W48" s="13">
        <f>IF(OR(U48="",V48=""),"",V48-U48)</f>
        <v/>
      </c>
      <c r="X48" s="10" t="n"/>
      <c r="Y48" s="10" t="n"/>
      <c r="Z48" s="11">
        <f>IF(OR(X48="",Y48=""),"",Y48-X48)</f>
        <v/>
      </c>
      <c r="AA48" s="10" t="n"/>
      <c r="AB48" s="10" t="n"/>
      <c r="AC48" s="11">
        <f>IF(OR(AA48="",AB48=""),"",AB48-AA48)</f>
        <v/>
      </c>
      <c r="AD48" s="10" t="n"/>
      <c r="AE48" s="10" t="n"/>
      <c r="AF48" s="11">
        <f>IF(OR(AD48="",AE48=""),"",AE48-AD48)</f>
        <v/>
      </c>
      <c r="AG48" s="12" t="n"/>
      <c r="AH48" s="12" t="n"/>
      <c r="AI48" s="13">
        <f>IF(OR(AG48="",AH48=""),"",AH48-AG48)</f>
        <v/>
      </c>
      <c r="AJ48" s="12" t="n"/>
      <c r="AK48" s="12" t="n"/>
      <c r="AL48" s="13">
        <f>IF(OR(AJ48="",AK48=""),"",AK48-AJ48)</f>
        <v/>
      </c>
      <c r="AM48" s="10" t="n"/>
      <c r="AN48" s="10" t="n"/>
      <c r="AO48" s="11">
        <f>IF(OR(AM48="",AN48=""),"",AN48-AM48)</f>
        <v/>
      </c>
      <c r="AP48" s="10" t="n"/>
      <c r="AQ48" s="10" t="n"/>
      <c r="AR48" s="11">
        <f>IF(OR(AP48="",AQ48=""),"",AQ48-AP48)</f>
        <v/>
      </c>
      <c r="AS48" s="10" t="n"/>
      <c r="AT48" s="10" t="n"/>
      <c r="AU48" s="11">
        <f>IF(OR(AS48="",AT48=""),"",AT48-AS48)</f>
        <v/>
      </c>
    </row>
    <row r="49">
      <c r="A49" s="8" t="n">
        <v>42</v>
      </c>
      <c r="B49" s="9" t="n">
        <v>20260964</v>
      </c>
      <c r="C49" s="10" t="n"/>
      <c r="D49" s="10" t="n"/>
      <c r="E49" s="11">
        <f>IF(OR(C49="",D49=""),"",D49-C49)</f>
        <v/>
      </c>
      <c r="F49" s="10" t="n"/>
      <c r="G49" s="10" t="n"/>
      <c r="H49" s="11">
        <f>IF(OR(F49="",G49=""),"",G49-F49)</f>
        <v/>
      </c>
      <c r="I49" s="10" t="n"/>
      <c r="J49" s="10" t="n"/>
      <c r="K49" s="11">
        <f>IF(OR(I49="",J49=""),"",J49-I49)</f>
        <v/>
      </c>
      <c r="L49" s="10" t="n"/>
      <c r="M49" s="10" t="n"/>
      <c r="N49" s="11">
        <f>IF(OR(L49="",M49=""),"",M49-L49)</f>
        <v/>
      </c>
      <c r="O49" s="10" t="n"/>
      <c r="P49" s="10" t="n"/>
      <c r="Q49" s="11">
        <f>IF(OR(O49="",P49=""),"",P49-O49)</f>
        <v/>
      </c>
      <c r="R49" s="10" t="n"/>
      <c r="S49" s="10" t="n"/>
      <c r="T49" s="11">
        <f>IF(OR(R49="",S49=""),"",S49-R49)</f>
        <v/>
      </c>
      <c r="U49" s="12" t="n"/>
      <c r="V49" s="12" t="n"/>
      <c r="W49" s="13">
        <f>IF(OR(U49="",V49=""),"",V49-U49)</f>
        <v/>
      </c>
      <c r="X49" s="10" t="n"/>
      <c r="Y49" s="10" t="n"/>
      <c r="Z49" s="11">
        <f>IF(OR(X49="",Y49=""),"",Y49-X49)</f>
        <v/>
      </c>
      <c r="AA49" s="10" t="n"/>
      <c r="AB49" s="10" t="n"/>
      <c r="AC49" s="11">
        <f>IF(OR(AA49="",AB49=""),"",AB49-AA49)</f>
        <v/>
      </c>
      <c r="AD49" s="10" t="n"/>
      <c r="AE49" s="10" t="n"/>
      <c r="AF49" s="11">
        <f>IF(OR(AD49="",AE49=""),"",AE49-AD49)</f>
        <v/>
      </c>
      <c r="AG49" s="12" t="n"/>
      <c r="AH49" s="12" t="n"/>
      <c r="AI49" s="13">
        <f>IF(OR(AG49="",AH49=""),"",AH49-AG49)</f>
        <v/>
      </c>
      <c r="AJ49" s="12" t="n"/>
      <c r="AK49" s="12" t="n"/>
      <c r="AL49" s="13">
        <f>IF(OR(AJ49="",AK49=""),"",AK49-AJ49)</f>
        <v/>
      </c>
      <c r="AM49" s="10" t="n"/>
      <c r="AN49" s="10" t="n"/>
      <c r="AO49" s="11">
        <f>IF(OR(AM49="",AN49=""),"",AN49-AM49)</f>
        <v/>
      </c>
      <c r="AP49" s="10" t="n"/>
      <c r="AQ49" s="10" t="n"/>
      <c r="AR49" s="11">
        <f>IF(OR(AP49="",AQ49=""),"",AQ49-AP49)</f>
        <v/>
      </c>
      <c r="AS49" s="10" t="n"/>
      <c r="AT49" s="10" t="n"/>
      <c r="AU49" s="11">
        <f>IF(OR(AS49="",AT49=""),"",AT49-AS49)</f>
        <v/>
      </c>
    </row>
    <row r="50">
      <c r="A50" s="8" t="n">
        <v>43</v>
      </c>
      <c r="B50" s="9" t="n">
        <v>20260965</v>
      </c>
      <c r="C50" s="10" t="n"/>
      <c r="D50" s="10" t="n"/>
      <c r="E50" s="11">
        <f>IF(OR(C50="",D50=""),"",D50-C50)</f>
        <v/>
      </c>
      <c r="F50" s="10" t="n"/>
      <c r="G50" s="10" t="n"/>
      <c r="H50" s="11">
        <f>IF(OR(F50="",G50=""),"",G50-F50)</f>
        <v/>
      </c>
      <c r="I50" s="10" t="n"/>
      <c r="J50" s="10" t="n"/>
      <c r="K50" s="11">
        <f>IF(OR(I50="",J50=""),"",J50-I50)</f>
        <v/>
      </c>
      <c r="L50" s="10" t="n"/>
      <c r="M50" s="10" t="n"/>
      <c r="N50" s="11">
        <f>IF(OR(L50="",M50=""),"",M50-L50)</f>
        <v/>
      </c>
      <c r="O50" s="10" t="n"/>
      <c r="P50" s="10" t="n"/>
      <c r="Q50" s="11">
        <f>IF(OR(O50="",P50=""),"",P50-O50)</f>
        <v/>
      </c>
      <c r="R50" s="10" t="n"/>
      <c r="S50" s="10" t="n"/>
      <c r="T50" s="11">
        <f>IF(OR(R50="",S50=""),"",S50-R50)</f>
        <v/>
      </c>
      <c r="U50" s="12" t="n"/>
      <c r="V50" s="12" t="n"/>
      <c r="W50" s="13">
        <f>IF(OR(U50="",V50=""),"",V50-U50)</f>
        <v/>
      </c>
      <c r="X50" s="10" t="n"/>
      <c r="Y50" s="10" t="n"/>
      <c r="Z50" s="11">
        <f>IF(OR(X50="",Y50=""),"",Y50-X50)</f>
        <v/>
      </c>
      <c r="AA50" s="10" t="n"/>
      <c r="AB50" s="10" t="n"/>
      <c r="AC50" s="11">
        <f>IF(OR(AA50="",AB50=""),"",AB50-AA50)</f>
        <v/>
      </c>
      <c r="AD50" s="10" t="n"/>
      <c r="AE50" s="10" t="n"/>
      <c r="AF50" s="11">
        <f>IF(OR(AD50="",AE50=""),"",AE50-AD50)</f>
        <v/>
      </c>
      <c r="AG50" s="12" t="n"/>
      <c r="AH50" s="12" t="n"/>
      <c r="AI50" s="13">
        <f>IF(OR(AG50="",AH50=""),"",AH50-AG50)</f>
        <v/>
      </c>
      <c r="AJ50" s="12" t="n"/>
      <c r="AK50" s="12" t="n"/>
      <c r="AL50" s="13">
        <f>IF(OR(AJ50="",AK50=""),"",AK50-AJ50)</f>
        <v/>
      </c>
      <c r="AM50" s="10" t="n"/>
      <c r="AN50" s="10" t="n"/>
      <c r="AO50" s="11">
        <f>IF(OR(AM50="",AN50=""),"",AN50-AM50)</f>
        <v/>
      </c>
      <c r="AP50" s="10" t="n"/>
      <c r="AQ50" s="10" t="n"/>
      <c r="AR50" s="11">
        <f>IF(OR(AP50="",AQ50=""),"",AQ50-AP50)</f>
        <v/>
      </c>
      <c r="AS50" s="10" t="n"/>
      <c r="AT50" s="10" t="n"/>
      <c r="AU50" s="11">
        <f>IF(OR(AS50="",AT50=""),"",AT50-AS50)</f>
        <v/>
      </c>
    </row>
    <row r="51">
      <c r="A51" s="8" t="n">
        <v>44</v>
      </c>
      <c r="B51" s="9" t="n">
        <v>20260966</v>
      </c>
      <c r="C51" s="10" t="n"/>
      <c r="D51" s="10" t="n"/>
      <c r="E51" s="11">
        <f>IF(OR(C51="",D51=""),"",D51-C51)</f>
        <v/>
      </c>
      <c r="F51" s="10" t="n"/>
      <c r="G51" s="10" t="n"/>
      <c r="H51" s="11">
        <f>IF(OR(F51="",G51=""),"",G51-F51)</f>
        <v/>
      </c>
      <c r="I51" s="10" t="n"/>
      <c r="J51" s="10" t="n"/>
      <c r="K51" s="11">
        <f>IF(OR(I51="",J51=""),"",J51-I51)</f>
        <v/>
      </c>
      <c r="L51" s="10" t="n"/>
      <c r="M51" s="10" t="n"/>
      <c r="N51" s="11">
        <f>IF(OR(L51="",M51=""),"",M51-L51)</f>
        <v/>
      </c>
      <c r="O51" s="10" t="n"/>
      <c r="P51" s="10" t="n"/>
      <c r="Q51" s="11">
        <f>IF(OR(O51="",P51=""),"",P51-O51)</f>
        <v/>
      </c>
      <c r="R51" s="10" t="n"/>
      <c r="S51" s="10" t="n"/>
      <c r="T51" s="11">
        <f>IF(OR(R51="",S51=""),"",S51-R51)</f>
        <v/>
      </c>
      <c r="U51" s="12" t="n"/>
      <c r="V51" s="12" t="n"/>
      <c r="W51" s="13">
        <f>IF(OR(U51="",V51=""),"",V51-U51)</f>
        <v/>
      </c>
      <c r="X51" s="10" t="n"/>
      <c r="Y51" s="10" t="n"/>
      <c r="Z51" s="11">
        <f>IF(OR(X51="",Y51=""),"",Y51-X51)</f>
        <v/>
      </c>
      <c r="AA51" s="10" t="n"/>
      <c r="AB51" s="10" t="n"/>
      <c r="AC51" s="11">
        <f>IF(OR(AA51="",AB51=""),"",AB51-AA51)</f>
        <v/>
      </c>
      <c r="AD51" s="10" t="n"/>
      <c r="AE51" s="10" t="n"/>
      <c r="AF51" s="11">
        <f>IF(OR(AD51="",AE51=""),"",AE51-AD51)</f>
        <v/>
      </c>
      <c r="AG51" s="12" t="n"/>
      <c r="AH51" s="12" t="n"/>
      <c r="AI51" s="13">
        <f>IF(OR(AG51="",AH51=""),"",AH51-AG51)</f>
        <v/>
      </c>
      <c r="AJ51" s="12" t="n"/>
      <c r="AK51" s="12" t="n"/>
      <c r="AL51" s="13">
        <f>IF(OR(AJ51="",AK51=""),"",AK51-AJ51)</f>
        <v/>
      </c>
      <c r="AM51" s="10" t="n"/>
      <c r="AN51" s="10" t="n"/>
      <c r="AO51" s="11">
        <f>IF(OR(AM51="",AN51=""),"",AN51-AM51)</f>
        <v/>
      </c>
      <c r="AP51" s="10" t="n"/>
      <c r="AQ51" s="10" t="n"/>
      <c r="AR51" s="11">
        <f>IF(OR(AP51="",AQ51=""),"",AQ51-AP51)</f>
        <v/>
      </c>
      <c r="AS51" s="10" t="n"/>
      <c r="AT51" s="10" t="n"/>
      <c r="AU51" s="11">
        <f>IF(OR(AS51="",AT51=""),"",AT51-AS51)</f>
        <v/>
      </c>
    </row>
    <row r="52">
      <c r="A52" s="8" t="n">
        <v>45</v>
      </c>
      <c r="B52" s="9" t="n">
        <v>20260967</v>
      </c>
      <c r="C52" s="10" t="n"/>
      <c r="D52" s="10" t="n"/>
      <c r="E52" s="11">
        <f>IF(OR(C52="",D52=""),"",D52-C52)</f>
        <v/>
      </c>
      <c r="F52" s="10" t="n"/>
      <c r="G52" s="10" t="n"/>
      <c r="H52" s="11">
        <f>IF(OR(F52="",G52=""),"",G52-F52)</f>
        <v/>
      </c>
      <c r="I52" s="10" t="n"/>
      <c r="J52" s="10" t="n"/>
      <c r="K52" s="11">
        <f>IF(OR(I52="",J52=""),"",J52-I52)</f>
        <v/>
      </c>
      <c r="L52" s="10" t="n"/>
      <c r="M52" s="10" t="n"/>
      <c r="N52" s="11">
        <f>IF(OR(L52="",M52=""),"",M52-L52)</f>
        <v/>
      </c>
      <c r="O52" s="10" t="n"/>
      <c r="P52" s="10" t="n"/>
      <c r="Q52" s="11">
        <f>IF(OR(O52="",P52=""),"",P52-O52)</f>
        <v/>
      </c>
      <c r="R52" s="10" t="n"/>
      <c r="S52" s="10" t="n"/>
      <c r="T52" s="11">
        <f>IF(OR(R52="",S52=""),"",S52-R52)</f>
        <v/>
      </c>
      <c r="U52" s="12" t="n"/>
      <c r="V52" s="12" t="n"/>
      <c r="W52" s="13">
        <f>IF(OR(U52="",V52=""),"",V52-U52)</f>
        <v/>
      </c>
      <c r="X52" s="10" t="n"/>
      <c r="Y52" s="10" t="n"/>
      <c r="Z52" s="11">
        <f>IF(OR(X52="",Y52=""),"",Y52-X52)</f>
        <v/>
      </c>
      <c r="AA52" s="10" t="n"/>
      <c r="AB52" s="10" t="n"/>
      <c r="AC52" s="11">
        <f>IF(OR(AA52="",AB52=""),"",AB52-AA52)</f>
        <v/>
      </c>
      <c r="AD52" s="10" t="n"/>
      <c r="AE52" s="10" t="n"/>
      <c r="AF52" s="11">
        <f>IF(OR(AD52="",AE52=""),"",AE52-AD52)</f>
        <v/>
      </c>
      <c r="AG52" s="12" t="n"/>
      <c r="AH52" s="12" t="n"/>
      <c r="AI52" s="13">
        <f>IF(OR(AG52="",AH52=""),"",AH52-AG52)</f>
        <v/>
      </c>
      <c r="AJ52" s="12" t="n"/>
      <c r="AK52" s="12" t="n"/>
      <c r="AL52" s="13">
        <f>IF(OR(AJ52="",AK52=""),"",AK52-AJ52)</f>
        <v/>
      </c>
      <c r="AM52" s="10" t="n"/>
      <c r="AN52" s="10" t="n"/>
      <c r="AO52" s="11">
        <f>IF(OR(AM52="",AN52=""),"",AN52-AM52)</f>
        <v/>
      </c>
      <c r="AP52" s="10" t="n"/>
      <c r="AQ52" s="10" t="n"/>
      <c r="AR52" s="11">
        <f>IF(OR(AP52="",AQ52=""),"",AQ52-AP52)</f>
        <v/>
      </c>
      <c r="AS52" s="10" t="n"/>
      <c r="AT52" s="10" t="n"/>
      <c r="AU52" s="11">
        <f>IF(OR(AS52="",AT52=""),"",AT52-AS52)</f>
        <v/>
      </c>
    </row>
    <row r="53">
      <c r="A53" s="8" t="n">
        <v>46</v>
      </c>
      <c r="B53" s="9" t="n">
        <v>20260968</v>
      </c>
      <c r="C53" s="10" t="n"/>
      <c r="D53" s="10" t="n"/>
      <c r="E53" s="11">
        <f>IF(OR(C53="",D53=""),"",D53-C53)</f>
        <v/>
      </c>
      <c r="F53" s="10" t="n"/>
      <c r="G53" s="10" t="n"/>
      <c r="H53" s="11">
        <f>IF(OR(F53="",G53=""),"",G53-F53)</f>
        <v/>
      </c>
      <c r="I53" s="10" t="n"/>
      <c r="J53" s="10" t="n"/>
      <c r="K53" s="11">
        <f>IF(OR(I53="",J53=""),"",J53-I53)</f>
        <v/>
      </c>
      <c r="L53" s="10" t="n"/>
      <c r="M53" s="10" t="n"/>
      <c r="N53" s="11">
        <f>IF(OR(L53="",M53=""),"",M53-L53)</f>
        <v/>
      </c>
      <c r="O53" s="10" t="n"/>
      <c r="P53" s="10" t="n"/>
      <c r="Q53" s="11">
        <f>IF(OR(O53="",P53=""),"",P53-O53)</f>
        <v/>
      </c>
      <c r="R53" s="10" t="n"/>
      <c r="S53" s="10" t="n"/>
      <c r="T53" s="11">
        <f>IF(OR(R53="",S53=""),"",S53-R53)</f>
        <v/>
      </c>
      <c r="U53" s="12" t="n"/>
      <c r="V53" s="12" t="n"/>
      <c r="W53" s="13">
        <f>IF(OR(U53="",V53=""),"",V53-U53)</f>
        <v/>
      </c>
      <c r="X53" s="10" t="n"/>
      <c r="Y53" s="10" t="n"/>
      <c r="Z53" s="11">
        <f>IF(OR(X53="",Y53=""),"",Y53-X53)</f>
        <v/>
      </c>
      <c r="AA53" s="10" t="n"/>
      <c r="AB53" s="10" t="n"/>
      <c r="AC53" s="11">
        <f>IF(OR(AA53="",AB53=""),"",AB53-AA53)</f>
        <v/>
      </c>
      <c r="AD53" s="10" t="n"/>
      <c r="AE53" s="10" t="n"/>
      <c r="AF53" s="11">
        <f>IF(OR(AD53="",AE53=""),"",AE53-AD53)</f>
        <v/>
      </c>
      <c r="AG53" s="12" t="n"/>
      <c r="AH53" s="12" t="n"/>
      <c r="AI53" s="13">
        <f>IF(OR(AG53="",AH53=""),"",AH53-AG53)</f>
        <v/>
      </c>
      <c r="AJ53" s="12" t="n"/>
      <c r="AK53" s="12" t="n"/>
      <c r="AL53" s="13">
        <f>IF(OR(AJ53="",AK53=""),"",AK53-AJ53)</f>
        <v/>
      </c>
      <c r="AM53" s="10" t="n"/>
      <c r="AN53" s="10" t="n"/>
      <c r="AO53" s="11">
        <f>IF(OR(AM53="",AN53=""),"",AN53-AM53)</f>
        <v/>
      </c>
      <c r="AP53" s="10" t="n"/>
      <c r="AQ53" s="10" t="n"/>
      <c r="AR53" s="11">
        <f>IF(OR(AP53="",AQ53=""),"",AQ53-AP53)</f>
        <v/>
      </c>
      <c r="AS53" s="10" t="n"/>
      <c r="AT53" s="10" t="n"/>
      <c r="AU53" s="11">
        <f>IF(OR(AS53="",AT53=""),"",AT53-AS53)</f>
        <v/>
      </c>
    </row>
    <row r="54">
      <c r="A54" s="8" t="n">
        <v>47</v>
      </c>
      <c r="B54" s="9" t="n">
        <v>20260969</v>
      </c>
      <c r="C54" s="10" t="n"/>
      <c r="D54" s="10" t="n"/>
      <c r="E54" s="11">
        <f>IF(OR(C54="",D54=""),"",D54-C54)</f>
        <v/>
      </c>
      <c r="F54" s="10" t="n"/>
      <c r="G54" s="10" t="n"/>
      <c r="H54" s="11">
        <f>IF(OR(F54="",G54=""),"",G54-F54)</f>
        <v/>
      </c>
      <c r="I54" s="10" t="n"/>
      <c r="J54" s="10" t="n"/>
      <c r="K54" s="11">
        <f>IF(OR(I54="",J54=""),"",J54-I54)</f>
        <v/>
      </c>
      <c r="L54" s="10" t="n"/>
      <c r="M54" s="10" t="n"/>
      <c r="N54" s="11">
        <f>IF(OR(L54="",M54=""),"",M54-L54)</f>
        <v/>
      </c>
      <c r="O54" s="10" t="n"/>
      <c r="P54" s="10" t="n"/>
      <c r="Q54" s="11">
        <f>IF(OR(O54="",P54=""),"",P54-O54)</f>
        <v/>
      </c>
      <c r="R54" s="10" t="n"/>
      <c r="S54" s="10" t="n"/>
      <c r="T54" s="11">
        <f>IF(OR(R54="",S54=""),"",S54-R54)</f>
        <v/>
      </c>
      <c r="U54" s="12" t="n"/>
      <c r="V54" s="12" t="n"/>
      <c r="W54" s="13">
        <f>IF(OR(U54="",V54=""),"",V54-U54)</f>
        <v/>
      </c>
      <c r="X54" s="10" t="n"/>
      <c r="Y54" s="10" t="n"/>
      <c r="Z54" s="11">
        <f>IF(OR(X54="",Y54=""),"",Y54-X54)</f>
        <v/>
      </c>
      <c r="AA54" s="10" t="n"/>
      <c r="AB54" s="10" t="n"/>
      <c r="AC54" s="11">
        <f>IF(OR(AA54="",AB54=""),"",AB54-AA54)</f>
        <v/>
      </c>
      <c r="AD54" s="10" t="n"/>
      <c r="AE54" s="10" t="n"/>
      <c r="AF54" s="11">
        <f>IF(OR(AD54="",AE54=""),"",AE54-AD54)</f>
        <v/>
      </c>
      <c r="AG54" s="12" t="n"/>
      <c r="AH54" s="12" t="n"/>
      <c r="AI54" s="13">
        <f>IF(OR(AG54="",AH54=""),"",AH54-AG54)</f>
        <v/>
      </c>
      <c r="AJ54" s="12" t="n"/>
      <c r="AK54" s="12" t="n"/>
      <c r="AL54" s="13">
        <f>IF(OR(AJ54="",AK54=""),"",AK54-AJ54)</f>
        <v/>
      </c>
      <c r="AM54" s="10" t="n"/>
      <c r="AN54" s="10" t="n"/>
      <c r="AO54" s="11">
        <f>IF(OR(AM54="",AN54=""),"",AN54-AM54)</f>
        <v/>
      </c>
      <c r="AP54" s="10" t="n"/>
      <c r="AQ54" s="10" t="n"/>
      <c r="AR54" s="11">
        <f>IF(OR(AP54="",AQ54=""),"",AQ54-AP54)</f>
        <v/>
      </c>
      <c r="AS54" s="10" t="n"/>
      <c r="AT54" s="10" t="n"/>
      <c r="AU54" s="11">
        <f>IF(OR(AS54="",AT54=""),"",AT54-AS54)</f>
        <v/>
      </c>
    </row>
    <row r="55">
      <c r="A55" s="8" t="n">
        <v>48</v>
      </c>
      <c r="B55" s="9" t="n">
        <v>20260970</v>
      </c>
      <c r="C55" s="10" t="n"/>
      <c r="D55" s="10" t="n"/>
      <c r="E55" s="11">
        <f>IF(OR(C55="",D55=""),"",D55-C55)</f>
        <v/>
      </c>
      <c r="F55" s="10" t="n"/>
      <c r="G55" s="10" t="n"/>
      <c r="H55" s="11">
        <f>IF(OR(F55="",G55=""),"",G55-F55)</f>
        <v/>
      </c>
      <c r="I55" s="10" t="n"/>
      <c r="J55" s="10" t="n"/>
      <c r="K55" s="11">
        <f>IF(OR(I55="",J55=""),"",J55-I55)</f>
        <v/>
      </c>
      <c r="L55" s="10" t="n"/>
      <c r="M55" s="10" t="n"/>
      <c r="N55" s="11">
        <f>IF(OR(L55="",M55=""),"",M55-L55)</f>
        <v/>
      </c>
      <c r="O55" s="10" t="n"/>
      <c r="P55" s="10" t="n"/>
      <c r="Q55" s="11">
        <f>IF(OR(O55="",P55=""),"",P55-O55)</f>
        <v/>
      </c>
      <c r="R55" s="10" t="n"/>
      <c r="S55" s="10" t="n"/>
      <c r="T55" s="11">
        <f>IF(OR(R55="",S55=""),"",S55-R55)</f>
        <v/>
      </c>
      <c r="U55" s="12" t="n"/>
      <c r="V55" s="12" t="n"/>
      <c r="W55" s="13">
        <f>IF(OR(U55="",V55=""),"",V55-U55)</f>
        <v/>
      </c>
      <c r="X55" s="10" t="n"/>
      <c r="Y55" s="10" t="n"/>
      <c r="Z55" s="11">
        <f>IF(OR(X55="",Y55=""),"",Y55-X55)</f>
        <v/>
      </c>
      <c r="AA55" s="10" t="n"/>
      <c r="AB55" s="10" t="n"/>
      <c r="AC55" s="11">
        <f>IF(OR(AA55="",AB55=""),"",AB55-AA55)</f>
        <v/>
      </c>
      <c r="AD55" s="10" t="n"/>
      <c r="AE55" s="10" t="n"/>
      <c r="AF55" s="11">
        <f>IF(OR(AD55="",AE55=""),"",AE55-AD55)</f>
        <v/>
      </c>
      <c r="AG55" s="12" t="n"/>
      <c r="AH55" s="12" t="n"/>
      <c r="AI55" s="13">
        <f>IF(OR(AG55="",AH55=""),"",AH55-AG55)</f>
        <v/>
      </c>
      <c r="AJ55" s="12" t="n"/>
      <c r="AK55" s="12" t="n"/>
      <c r="AL55" s="13">
        <f>IF(OR(AJ55="",AK55=""),"",AK55-AJ55)</f>
        <v/>
      </c>
      <c r="AM55" s="10" t="n"/>
      <c r="AN55" s="10" t="n"/>
      <c r="AO55" s="11">
        <f>IF(OR(AM55="",AN55=""),"",AN55-AM55)</f>
        <v/>
      </c>
      <c r="AP55" s="10" t="n"/>
      <c r="AQ55" s="10" t="n"/>
      <c r="AR55" s="11">
        <f>IF(OR(AP55="",AQ55=""),"",AQ55-AP55)</f>
        <v/>
      </c>
      <c r="AS55" s="10" t="n"/>
      <c r="AT55" s="10" t="n"/>
      <c r="AU55" s="11">
        <f>IF(OR(AS55="",AT55=""),"",AT55-AS55)</f>
        <v/>
      </c>
    </row>
    <row r="56">
      <c r="A56" s="8" t="n">
        <v>49</v>
      </c>
      <c r="B56" s="9" t="n">
        <v>20260971</v>
      </c>
      <c r="C56" s="10" t="n"/>
      <c r="D56" s="10" t="n"/>
      <c r="E56" s="11">
        <f>IF(OR(C56="",D56=""),"",D56-C56)</f>
        <v/>
      </c>
      <c r="F56" s="10" t="n"/>
      <c r="G56" s="10" t="n"/>
      <c r="H56" s="11">
        <f>IF(OR(F56="",G56=""),"",G56-F56)</f>
        <v/>
      </c>
      <c r="I56" s="10" t="n"/>
      <c r="J56" s="10" t="n"/>
      <c r="K56" s="11">
        <f>IF(OR(I56="",J56=""),"",J56-I56)</f>
        <v/>
      </c>
      <c r="L56" s="10" t="n"/>
      <c r="M56" s="10" t="n"/>
      <c r="N56" s="11">
        <f>IF(OR(L56="",M56=""),"",M56-L56)</f>
        <v/>
      </c>
      <c r="O56" s="10" t="n"/>
      <c r="P56" s="10" t="n"/>
      <c r="Q56" s="11">
        <f>IF(OR(O56="",P56=""),"",P56-O56)</f>
        <v/>
      </c>
      <c r="R56" s="10" t="n"/>
      <c r="S56" s="10" t="n"/>
      <c r="T56" s="11">
        <f>IF(OR(R56="",S56=""),"",S56-R56)</f>
        <v/>
      </c>
      <c r="U56" s="12" t="n"/>
      <c r="V56" s="12" t="n"/>
      <c r="W56" s="13">
        <f>IF(OR(U56="",V56=""),"",V56-U56)</f>
        <v/>
      </c>
      <c r="X56" s="10" t="n"/>
      <c r="Y56" s="10" t="n"/>
      <c r="Z56" s="11">
        <f>IF(OR(X56="",Y56=""),"",Y56-X56)</f>
        <v/>
      </c>
      <c r="AA56" s="10" t="n"/>
      <c r="AB56" s="10" t="n"/>
      <c r="AC56" s="11">
        <f>IF(OR(AA56="",AB56=""),"",AB56-AA56)</f>
        <v/>
      </c>
      <c r="AD56" s="10" t="n"/>
      <c r="AE56" s="10" t="n"/>
      <c r="AF56" s="11">
        <f>IF(OR(AD56="",AE56=""),"",AE56-AD56)</f>
        <v/>
      </c>
      <c r="AG56" s="12" t="n"/>
      <c r="AH56" s="12" t="n"/>
      <c r="AI56" s="13">
        <f>IF(OR(AG56="",AH56=""),"",AH56-AG56)</f>
        <v/>
      </c>
      <c r="AJ56" s="12" t="n"/>
      <c r="AK56" s="12" t="n"/>
      <c r="AL56" s="13">
        <f>IF(OR(AJ56="",AK56=""),"",AK56-AJ56)</f>
        <v/>
      </c>
      <c r="AM56" s="10" t="n"/>
      <c r="AN56" s="10" t="n"/>
      <c r="AO56" s="11">
        <f>IF(OR(AM56="",AN56=""),"",AN56-AM56)</f>
        <v/>
      </c>
      <c r="AP56" s="10" t="n"/>
      <c r="AQ56" s="10" t="n"/>
      <c r="AR56" s="11">
        <f>IF(OR(AP56="",AQ56=""),"",AQ56-AP56)</f>
        <v/>
      </c>
      <c r="AS56" s="10" t="n"/>
      <c r="AT56" s="10" t="n"/>
      <c r="AU56" s="11">
        <f>IF(OR(AS56="",AT56=""),"",AT56-AS56)</f>
        <v/>
      </c>
    </row>
    <row r="57">
      <c r="A57" s="8" t="n">
        <v>50</v>
      </c>
      <c r="B57" s="9" t="n">
        <v>20260972</v>
      </c>
      <c r="C57" s="10" t="n"/>
      <c r="D57" s="10" t="n"/>
      <c r="E57" s="11">
        <f>IF(OR(C57="",D57=""),"",D57-C57)</f>
        <v/>
      </c>
      <c r="F57" s="10" t="n"/>
      <c r="G57" s="10" t="n"/>
      <c r="H57" s="11">
        <f>IF(OR(F57="",G57=""),"",G57-F57)</f>
        <v/>
      </c>
      <c r="I57" s="10" t="n"/>
      <c r="J57" s="10" t="n"/>
      <c r="K57" s="11">
        <f>IF(OR(I57="",J57=""),"",J57-I57)</f>
        <v/>
      </c>
      <c r="L57" s="10" t="n"/>
      <c r="M57" s="10" t="n"/>
      <c r="N57" s="11">
        <f>IF(OR(L57="",M57=""),"",M57-L57)</f>
        <v/>
      </c>
      <c r="O57" s="10" t="n"/>
      <c r="P57" s="10" t="n"/>
      <c r="Q57" s="11">
        <f>IF(OR(O57="",P57=""),"",P57-O57)</f>
        <v/>
      </c>
      <c r="R57" s="10" t="n"/>
      <c r="S57" s="10" t="n"/>
      <c r="T57" s="11">
        <f>IF(OR(R57="",S57=""),"",S57-R57)</f>
        <v/>
      </c>
      <c r="U57" s="12" t="n"/>
      <c r="V57" s="12" t="n"/>
      <c r="W57" s="13">
        <f>IF(OR(U57="",V57=""),"",V57-U57)</f>
        <v/>
      </c>
      <c r="X57" s="10" t="n"/>
      <c r="Y57" s="10" t="n"/>
      <c r="Z57" s="11">
        <f>IF(OR(X57="",Y57=""),"",Y57-X57)</f>
        <v/>
      </c>
      <c r="AA57" s="10" t="n"/>
      <c r="AB57" s="10" t="n"/>
      <c r="AC57" s="11">
        <f>IF(OR(AA57="",AB57=""),"",AB57-AA57)</f>
        <v/>
      </c>
      <c r="AD57" s="10" t="n"/>
      <c r="AE57" s="10" t="n"/>
      <c r="AF57" s="11">
        <f>IF(OR(AD57="",AE57=""),"",AE57-AD57)</f>
        <v/>
      </c>
      <c r="AG57" s="12" t="n"/>
      <c r="AH57" s="12" t="n"/>
      <c r="AI57" s="13">
        <f>IF(OR(AG57="",AH57=""),"",AH57-AG57)</f>
        <v/>
      </c>
      <c r="AJ57" s="12" t="n"/>
      <c r="AK57" s="12" t="n"/>
      <c r="AL57" s="13">
        <f>IF(OR(AJ57="",AK57=""),"",AK57-AJ57)</f>
        <v/>
      </c>
      <c r="AM57" s="10" t="n"/>
      <c r="AN57" s="10" t="n"/>
      <c r="AO57" s="11">
        <f>IF(OR(AM57="",AN57=""),"",AN57-AM57)</f>
        <v/>
      </c>
      <c r="AP57" s="10" t="n"/>
      <c r="AQ57" s="10" t="n"/>
      <c r="AR57" s="11">
        <f>IF(OR(AP57="",AQ57=""),"",AQ57-AP57)</f>
        <v/>
      </c>
      <c r="AS57" s="10" t="n"/>
      <c r="AT57" s="10" t="n"/>
      <c r="AU57" s="11">
        <f>IF(OR(AS57="",AT57=""),"",AT57-AS57)</f>
        <v/>
      </c>
    </row>
    <row r="58">
      <c r="A58" s="8" t="n">
        <v>51</v>
      </c>
      <c r="B58" s="9" t="n">
        <v>20260973</v>
      </c>
      <c r="C58" s="10" t="n"/>
      <c r="D58" s="10" t="n"/>
      <c r="E58" s="11">
        <f>IF(OR(C58="",D58=""),"",D58-C58)</f>
        <v/>
      </c>
      <c r="F58" s="10" t="n"/>
      <c r="G58" s="10" t="n"/>
      <c r="H58" s="11">
        <f>IF(OR(F58="",G58=""),"",G58-F58)</f>
        <v/>
      </c>
      <c r="I58" s="10" t="n"/>
      <c r="J58" s="10" t="n"/>
      <c r="K58" s="11">
        <f>IF(OR(I58="",J58=""),"",J58-I58)</f>
        <v/>
      </c>
      <c r="L58" s="10" t="n"/>
      <c r="M58" s="10" t="n"/>
      <c r="N58" s="11">
        <f>IF(OR(L58="",M58=""),"",M58-L58)</f>
        <v/>
      </c>
      <c r="O58" s="10" t="n"/>
      <c r="P58" s="10" t="n"/>
      <c r="Q58" s="11">
        <f>IF(OR(O58="",P58=""),"",P58-O58)</f>
        <v/>
      </c>
      <c r="R58" s="10" t="n"/>
      <c r="S58" s="10" t="n"/>
      <c r="T58" s="11">
        <f>IF(OR(R58="",S58=""),"",S58-R58)</f>
        <v/>
      </c>
      <c r="U58" s="12" t="n"/>
      <c r="V58" s="12" t="n"/>
      <c r="W58" s="13">
        <f>IF(OR(U58="",V58=""),"",V58-U58)</f>
        <v/>
      </c>
      <c r="X58" s="10" t="n"/>
      <c r="Y58" s="10" t="n"/>
      <c r="Z58" s="11">
        <f>IF(OR(X58="",Y58=""),"",Y58-X58)</f>
        <v/>
      </c>
      <c r="AA58" s="10" t="n"/>
      <c r="AB58" s="10" t="n"/>
      <c r="AC58" s="11">
        <f>IF(OR(AA58="",AB58=""),"",AB58-AA58)</f>
        <v/>
      </c>
      <c r="AD58" s="10" t="n"/>
      <c r="AE58" s="10" t="n"/>
      <c r="AF58" s="11">
        <f>IF(OR(AD58="",AE58=""),"",AE58-AD58)</f>
        <v/>
      </c>
      <c r="AG58" s="12" t="n"/>
      <c r="AH58" s="12" t="n"/>
      <c r="AI58" s="13">
        <f>IF(OR(AG58="",AH58=""),"",AH58-AG58)</f>
        <v/>
      </c>
      <c r="AJ58" s="12" t="n"/>
      <c r="AK58" s="12" t="n"/>
      <c r="AL58" s="13">
        <f>IF(OR(AJ58="",AK58=""),"",AK58-AJ58)</f>
        <v/>
      </c>
      <c r="AM58" s="10" t="n"/>
      <c r="AN58" s="10" t="n"/>
      <c r="AO58" s="11">
        <f>IF(OR(AM58="",AN58=""),"",AN58-AM58)</f>
        <v/>
      </c>
      <c r="AP58" s="10" t="n"/>
      <c r="AQ58" s="10" t="n"/>
      <c r="AR58" s="11">
        <f>IF(OR(AP58="",AQ58=""),"",AQ58-AP58)</f>
        <v/>
      </c>
      <c r="AS58" s="10" t="n"/>
      <c r="AT58" s="10" t="n"/>
      <c r="AU58" s="11">
        <f>IF(OR(AS58="",AT58=""),"",AT58-AS58)</f>
        <v/>
      </c>
    </row>
    <row r="59">
      <c r="A59" s="8" t="n">
        <v>52</v>
      </c>
      <c r="B59" s="9" t="n">
        <v>20260974</v>
      </c>
      <c r="C59" s="10" t="n"/>
      <c r="D59" s="10" t="n"/>
      <c r="E59" s="11">
        <f>IF(OR(C59="",D59=""),"",D59-C59)</f>
        <v/>
      </c>
      <c r="F59" s="10" t="n"/>
      <c r="G59" s="10" t="n"/>
      <c r="H59" s="11">
        <f>IF(OR(F59="",G59=""),"",G59-F59)</f>
        <v/>
      </c>
      <c r="I59" s="10" t="n"/>
      <c r="J59" s="10" t="n"/>
      <c r="K59" s="11">
        <f>IF(OR(I59="",J59=""),"",J59-I59)</f>
        <v/>
      </c>
      <c r="L59" s="10" t="n"/>
      <c r="M59" s="10" t="n"/>
      <c r="N59" s="11">
        <f>IF(OR(L59="",M59=""),"",M59-L59)</f>
        <v/>
      </c>
      <c r="O59" s="10" t="n"/>
      <c r="P59" s="10" t="n"/>
      <c r="Q59" s="11">
        <f>IF(OR(O59="",P59=""),"",P59-O59)</f>
        <v/>
      </c>
      <c r="R59" s="10" t="n"/>
      <c r="S59" s="10" t="n"/>
      <c r="T59" s="11">
        <f>IF(OR(R59="",S59=""),"",S59-R59)</f>
        <v/>
      </c>
      <c r="U59" s="12" t="n"/>
      <c r="V59" s="12" t="n"/>
      <c r="W59" s="13">
        <f>IF(OR(U59="",V59=""),"",V59-U59)</f>
        <v/>
      </c>
      <c r="X59" s="10" t="n"/>
      <c r="Y59" s="10" t="n"/>
      <c r="Z59" s="11">
        <f>IF(OR(X59="",Y59=""),"",Y59-X59)</f>
        <v/>
      </c>
      <c r="AA59" s="10" t="n"/>
      <c r="AB59" s="10" t="n"/>
      <c r="AC59" s="11">
        <f>IF(OR(AA59="",AB59=""),"",AB59-AA59)</f>
        <v/>
      </c>
      <c r="AD59" s="10" t="n"/>
      <c r="AE59" s="10" t="n"/>
      <c r="AF59" s="11">
        <f>IF(OR(AD59="",AE59=""),"",AE59-AD59)</f>
        <v/>
      </c>
      <c r="AG59" s="12" t="n"/>
      <c r="AH59" s="12" t="n"/>
      <c r="AI59" s="13">
        <f>IF(OR(AG59="",AH59=""),"",AH59-AG59)</f>
        <v/>
      </c>
      <c r="AJ59" s="12" t="n"/>
      <c r="AK59" s="12" t="n"/>
      <c r="AL59" s="13">
        <f>IF(OR(AJ59="",AK59=""),"",AK59-AJ59)</f>
        <v/>
      </c>
      <c r="AM59" s="10" t="n"/>
      <c r="AN59" s="10" t="n"/>
      <c r="AO59" s="11">
        <f>IF(OR(AM59="",AN59=""),"",AN59-AM59)</f>
        <v/>
      </c>
      <c r="AP59" s="10" t="n"/>
      <c r="AQ59" s="10" t="n"/>
      <c r="AR59" s="11">
        <f>IF(OR(AP59="",AQ59=""),"",AQ59-AP59)</f>
        <v/>
      </c>
      <c r="AS59" s="10" t="n"/>
      <c r="AT59" s="10" t="n"/>
      <c r="AU59" s="11">
        <f>IF(OR(AS59="",AT59=""),"",AT59-AS59)</f>
        <v/>
      </c>
    </row>
    <row r="60">
      <c r="A60" s="8" t="n">
        <v>53</v>
      </c>
      <c r="B60" s="9" t="n">
        <v>20260975</v>
      </c>
      <c r="C60" s="10" t="n"/>
      <c r="D60" s="10" t="n"/>
      <c r="E60" s="11">
        <f>IF(OR(C60="",D60=""),"",D60-C60)</f>
        <v/>
      </c>
      <c r="F60" s="10" t="n"/>
      <c r="G60" s="10" t="n"/>
      <c r="H60" s="11">
        <f>IF(OR(F60="",G60=""),"",G60-F60)</f>
        <v/>
      </c>
      <c r="I60" s="10" t="n"/>
      <c r="J60" s="10" t="n"/>
      <c r="K60" s="11">
        <f>IF(OR(I60="",J60=""),"",J60-I60)</f>
        <v/>
      </c>
      <c r="L60" s="10" t="n"/>
      <c r="M60" s="10" t="n"/>
      <c r="N60" s="11">
        <f>IF(OR(L60="",M60=""),"",M60-L60)</f>
        <v/>
      </c>
      <c r="O60" s="10" t="n"/>
      <c r="P60" s="10" t="n"/>
      <c r="Q60" s="11">
        <f>IF(OR(O60="",P60=""),"",P60-O60)</f>
        <v/>
      </c>
      <c r="R60" s="10" t="n"/>
      <c r="S60" s="10" t="n"/>
      <c r="T60" s="11">
        <f>IF(OR(R60="",S60=""),"",S60-R60)</f>
        <v/>
      </c>
      <c r="U60" s="12" t="n"/>
      <c r="V60" s="12" t="n"/>
      <c r="W60" s="13">
        <f>IF(OR(U60="",V60=""),"",V60-U60)</f>
        <v/>
      </c>
      <c r="X60" s="10" t="n"/>
      <c r="Y60" s="10" t="n"/>
      <c r="Z60" s="11">
        <f>IF(OR(X60="",Y60=""),"",Y60-X60)</f>
        <v/>
      </c>
      <c r="AA60" s="10" t="n"/>
      <c r="AB60" s="10" t="n"/>
      <c r="AC60" s="11">
        <f>IF(OR(AA60="",AB60=""),"",AB60-AA60)</f>
        <v/>
      </c>
      <c r="AD60" s="10" t="n"/>
      <c r="AE60" s="10" t="n"/>
      <c r="AF60" s="11">
        <f>IF(OR(AD60="",AE60=""),"",AE60-AD60)</f>
        <v/>
      </c>
      <c r="AG60" s="12" t="n"/>
      <c r="AH60" s="12" t="n"/>
      <c r="AI60" s="13">
        <f>IF(OR(AG60="",AH60=""),"",AH60-AG60)</f>
        <v/>
      </c>
      <c r="AJ60" s="12" t="n"/>
      <c r="AK60" s="12" t="n"/>
      <c r="AL60" s="13">
        <f>IF(OR(AJ60="",AK60=""),"",AK60-AJ60)</f>
        <v/>
      </c>
      <c r="AM60" s="10" t="n"/>
      <c r="AN60" s="10" t="n"/>
      <c r="AO60" s="11">
        <f>IF(OR(AM60="",AN60=""),"",AN60-AM60)</f>
        <v/>
      </c>
      <c r="AP60" s="10" t="n"/>
      <c r="AQ60" s="10" t="n"/>
      <c r="AR60" s="11">
        <f>IF(OR(AP60="",AQ60=""),"",AQ60-AP60)</f>
        <v/>
      </c>
      <c r="AS60" s="10" t="n"/>
      <c r="AT60" s="10" t="n"/>
      <c r="AU60" s="11">
        <f>IF(OR(AS60="",AT60=""),"",AT60-AS60)</f>
        <v/>
      </c>
    </row>
    <row r="61">
      <c r="A61" s="8" t="n">
        <v>54</v>
      </c>
      <c r="B61" s="9" t="n">
        <v>20260976</v>
      </c>
      <c r="C61" s="10" t="n"/>
      <c r="D61" s="10" t="n"/>
      <c r="E61" s="11">
        <f>IF(OR(C61="",D61=""),"",D61-C61)</f>
        <v/>
      </c>
      <c r="F61" s="10" t="n"/>
      <c r="G61" s="10" t="n"/>
      <c r="H61" s="11">
        <f>IF(OR(F61="",G61=""),"",G61-F61)</f>
        <v/>
      </c>
      <c r="I61" s="10" t="n"/>
      <c r="J61" s="10" t="n"/>
      <c r="K61" s="11">
        <f>IF(OR(I61="",J61=""),"",J61-I61)</f>
        <v/>
      </c>
      <c r="L61" s="10" t="n"/>
      <c r="M61" s="10" t="n"/>
      <c r="N61" s="11">
        <f>IF(OR(L61="",M61=""),"",M61-L61)</f>
        <v/>
      </c>
      <c r="O61" s="10" t="n"/>
      <c r="P61" s="10" t="n"/>
      <c r="Q61" s="11">
        <f>IF(OR(O61="",P61=""),"",P61-O61)</f>
        <v/>
      </c>
      <c r="R61" s="10" t="n"/>
      <c r="S61" s="10" t="n"/>
      <c r="T61" s="11">
        <f>IF(OR(R61="",S61=""),"",S61-R61)</f>
        <v/>
      </c>
      <c r="U61" s="12" t="n"/>
      <c r="V61" s="12" t="n"/>
      <c r="W61" s="13">
        <f>IF(OR(U61="",V61=""),"",V61-U61)</f>
        <v/>
      </c>
      <c r="X61" s="10" t="n"/>
      <c r="Y61" s="10" t="n"/>
      <c r="Z61" s="11">
        <f>IF(OR(X61="",Y61=""),"",Y61-X61)</f>
        <v/>
      </c>
      <c r="AA61" s="10" t="n"/>
      <c r="AB61" s="10" t="n"/>
      <c r="AC61" s="11">
        <f>IF(OR(AA61="",AB61=""),"",AB61-AA61)</f>
        <v/>
      </c>
      <c r="AD61" s="10" t="n"/>
      <c r="AE61" s="10" t="n"/>
      <c r="AF61" s="11">
        <f>IF(OR(AD61="",AE61=""),"",AE61-AD61)</f>
        <v/>
      </c>
      <c r="AG61" s="12" t="n"/>
      <c r="AH61" s="12" t="n"/>
      <c r="AI61" s="13">
        <f>IF(OR(AG61="",AH61=""),"",AH61-AG61)</f>
        <v/>
      </c>
      <c r="AJ61" s="12" t="n"/>
      <c r="AK61" s="12" t="n"/>
      <c r="AL61" s="13">
        <f>IF(OR(AJ61="",AK61=""),"",AK61-AJ61)</f>
        <v/>
      </c>
      <c r="AM61" s="10" t="n"/>
      <c r="AN61" s="10" t="n"/>
      <c r="AO61" s="11">
        <f>IF(OR(AM61="",AN61=""),"",AN61-AM61)</f>
        <v/>
      </c>
      <c r="AP61" s="10" t="n"/>
      <c r="AQ61" s="10" t="n"/>
      <c r="AR61" s="11">
        <f>IF(OR(AP61="",AQ61=""),"",AQ61-AP61)</f>
        <v/>
      </c>
      <c r="AS61" s="10" t="n"/>
      <c r="AT61" s="10" t="n"/>
      <c r="AU61" s="11">
        <f>IF(OR(AS61="",AT61=""),"",AT61-AS61)</f>
        <v/>
      </c>
    </row>
    <row r="62">
      <c r="A62" s="8" t="n">
        <v>55</v>
      </c>
      <c r="B62" s="9" t="n">
        <v>20260977</v>
      </c>
      <c r="C62" s="10" t="n"/>
      <c r="D62" s="10" t="n"/>
      <c r="E62" s="11">
        <f>IF(OR(C62="",D62=""),"",D62-C62)</f>
        <v/>
      </c>
      <c r="F62" s="10" t="n"/>
      <c r="G62" s="10" t="n"/>
      <c r="H62" s="11">
        <f>IF(OR(F62="",G62=""),"",G62-F62)</f>
        <v/>
      </c>
      <c r="I62" s="10" t="n"/>
      <c r="J62" s="10" t="n"/>
      <c r="K62" s="11">
        <f>IF(OR(I62="",J62=""),"",J62-I62)</f>
        <v/>
      </c>
      <c r="L62" s="10" t="n"/>
      <c r="M62" s="10" t="n"/>
      <c r="N62" s="11">
        <f>IF(OR(L62="",M62=""),"",M62-L62)</f>
        <v/>
      </c>
      <c r="O62" s="10" t="n"/>
      <c r="P62" s="10" t="n"/>
      <c r="Q62" s="11">
        <f>IF(OR(O62="",P62=""),"",P62-O62)</f>
        <v/>
      </c>
      <c r="R62" s="10" t="n"/>
      <c r="S62" s="10" t="n"/>
      <c r="T62" s="11">
        <f>IF(OR(R62="",S62=""),"",S62-R62)</f>
        <v/>
      </c>
      <c r="U62" s="12" t="n"/>
      <c r="V62" s="12" t="n"/>
      <c r="W62" s="13">
        <f>IF(OR(U62="",V62=""),"",V62-U62)</f>
        <v/>
      </c>
      <c r="X62" s="10" t="n"/>
      <c r="Y62" s="10" t="n"/>
      <c r="Z62" s="11">
        <f>IF(OR(X62="",Y62=""),"",Y62-X62)</f>
        <v/>
      </c>
      <c r="AA62" s="10" t="n"/>
      <c r="AB62" s="10" t="n"/>
      <c r="AC62" s="11">
        <f>IF(OR(AA62="",AB62=""),"",AB62-AA62)</f>
        <v/>
      </c>
      <c r="AD62" s="10" t="n"/>
      <c r="AE62" s="10" t="n"/>
      <c r="AF62" s="11">
        <f>IF(OR(AD62="",AE62=""),"",AE62-AD62)</f>
        <v/>
      </c>
      <c r="AG62" s="12" t="n"/>
      <c r="AH62" s="12" t="n"/>
      <c r="AI62" s="13">
        <f>IF(OR(AG62="",AH62=""),"",AH62-AG62)</f>
        <v/>
      </c>
      <c r="AJ62" s="12" t="n"/>
      <c r="AK62" s="12" t="n"/>
      <c r="AL62" s="13">
        <f>IF(OR(AJ62="",AK62=""),"",AK62-AJ62)</f>
        <v/>
      </c>
      <c r="AM62" s="10" t="n"/>
      <c r="AN62" s="10" t="n"/>
      <c r="AO62" s="11">
        <f>IF(OR(AM62="",AN62=""),"",AN62-AM62)</f>
        <v/>
      </c>
      <c r="AP62" s="10" t="n"/>
      <c r="AQ62" s="10" t="n"/>
      <c r="AR62" s="11">
        <f>IF(OR(AP62="",AQ62=""),"",AQ62-AP62)</f>
        <v/>
      </c>
      <c r="AS62" s="10" t="n"/>
      <c r="AT62" s="10" t="n"/>
      <c r="AU62" s="11">
        <f>IF(OR(AS62="",AT62=""),"",AT62-AS62)</f>
        <v/>
      </c>
    </row>
    <row r="63">
      <c r="A63" s="8" t="n">
        <v>56</v>
      </c>
      <c r="B63" s="9" t="n">
        <v>20260978</v>
      </c>
      <c r="C63" s="10" t="n"/>
      <c r="D63" s="10" t="n"/>
      <c r="E63" s="11">
        <f>IF(OR(C63="",D63=""),"",D63-C63)</f>
        <v/>
      </c>
      <c r="F63" s="10" t="n"/>
      <c r="G63" s="10" t="n"/>
      <c r="H63" s="11">
        <f>IF(OR(F63="",G63=""),"",G63-F63)</f>
        <v/>
      </c>
      <c r="I63" s="10" t="n"/>
      <c r="J63" s="10" t="n"/>
      <c r="K63" s="11">
        <f>IF(OR(I63="",J63=""),"",J63-I63)</f>
        <v/>
      </c>
      <c r="L63" s="10" t="n"/>
      <c r="M63" s="10" t="n"/>
      <c r="N63" s="11">
        <f>IF(OR(L63="",M63=""),"",M63-L63)</f>
        <v/>
      </c>
      <c r="O63" s="10" t="n"/>
      <c r="P63" s="10" t="n"/>
      <c r="Q63" s="11">
        <f>IF(OR(O63="",P63=""),"",P63-O63)</f>
        <v/>
      </c>
      <c r="R63" s="10" t="n"/>
      <c r="S63" s="10" t="n"/>
      <c r="T63" s="11">
        <f>IF(OR(R63="",S63=""),"",S63-R63)</f>
        <v/>
      </c>
      <c r="U63" s="12" t="n"/>
      <c r="V63" s="12" t="n"/>
      <c r="W63" s="13">
        <f>IF(OR(U63="",V63=""),"",V63-U63)</f>
        <v/>
      </c>
      <c r="X63" s="10" t="n"/>
      <c r="Y63" s="10" t="n"/>
      <c r="Z63" s="11">
        <f>IF(OR(X63="",Y63=""),"",Y63-X63)</f>
        <v/>
      </c>
      <c r="AA63" s="10" t="n"/>
      <c r="AB63" s="10" t="n"/>
      <c r="AC63" s="11">
        <f>IF(OR(AA63="",AB63=""),"",AB63-AA63)</f>
        <v/>
      </c>
      <c r="AD63" s="10" t="n"/>
      <c r="AE63" s="10" t="n"/>
      <c r="AF63" s="11">
        <f>IF(OR(AD63="",AE63=""),"",AE63-AD63)</f>
        <v/>
      </c>
      <c r="AG63" s="12" t="n"/>
      <c r="AH63" s="12" t="n"/>
      <c r="AI63" s="13">
        <f>IF(OR(AG63="",AH63=""),"",AH63-AG63)</f>
        <v/>
      </c>
      <c r="AJ63" s="12" t="n"/>
      <c r="AK63" s="12" t="n"/>
      <c r="AL63" s="13">
        <f>IF(OR(AJ63="",AK63=""),"",AK63-AJ63)</f>
        <v/>
      </c>
      <c r="AM63" s="10" t="n"/>
      <c r="AN63" s="10" t="n"/>
      <c r="AO63" s="11">
        <f>IF(OR(AM63="",AN63=""),"",AN63-AM63)</f>
        <v/>
      </c>
      <c r="AP63" s="10" t="n"/>
      <c r="AQ63" s="10" t="n"/>
      <c r="AR63" s="11">
        <f>IF(OR(AP63="",AQ63=""),"",AQ63-AP63)</f>
        <v/>
      </c>
      <c r="AS63" s="10" t="n"/>
      <c r="AT63" s="10" t="n"/>
      <c r="AU63" s="11">
        <f>IF(OR(AS63="",AT63=""),"",AT63-AS63)</f>
        <v/>
      </c>
    </row>
    <row r="64">
      <c r="A64" s="8" t="n">
        <v>57</v>
      </c>
      <c r="B64" s="9" t="n">
        <v>20260979</v>
      </c>
      <c r="C64" s="10" t="n"/>
      <c r="D64" s="10" t="n"/>
      <c r="E64" s="11">
        <f>IF(OR(C64="",D64=""),"",D64-C64)</f>
        <v/>
      </c>
      <c r="F64" s="10" t="n"/>
      <c r="G64" s="10" t="n"/>
      <c r="H64" s="11">
        <f>IF(OR(F64="",G64=""),"",G64-F64)</f>
        <v/>
      </c>
      <c r="I64" s="10" t="n"/>
      <c r="J64" s="10" t="n"/>
      <c r="K64" s="11">
        <f>IF(OR(I64="",J64=""),"",J64-I64)</f>
        <v/>
      </c>
      <c r="L64" s="10" t="n"/>
      <c r="M64" s="10" t="n"/>
      <c r="N64" s="11">
        <f>IF(OR(L64="",M64=""),"",M64-L64)</f>
        <v/>
      </c>
      <c r="O64" s="10" t="n"/>
      <c r="P64" s="10" t="n"/>
      <c r="Q64" s="11">
        <f>IF(OR(O64="",P64=""),"",P64-O64)</f>
        <v/>
      </c>
      <c r="R64" s="10" t="n"/>
      <c r="S64" s="10" t="n"/>
      <c r="T64" s="11">
        <f>IF(OR(R64="",S64=""),"",S64-R64)</f>
        <v/>
      </c>
      <c r="U64" s="12" t="n"/>
      <c r="V64" s="12" t="n"/>
      <c r="W64" s="13">
        <f>IF(OR(U64="",V64=""),"",V64-U64)</f>
        <v/>
      </c>
      <c r="X64" s="10" t="n"/>
      <c r="Y64" s="10" t="n"/>
      <c r="Z64" s="11">
        <f>IF(OR(X64="",Y64=""),"",Y64-X64)</f>
        <v/>
      </c>
      <c r="AA64" s="10" t="n"/>
      <c r="AB64" s="10" t="n"/>
      <c r="AC64" s="11">
        <f>IF(OR(AA64="",AB64=""),"",AB64-AA64)</f>
        <v/>
      </c>
      <c r="AD64" s="10" t="n"/>
      <c r="AE64" s="10" t="n"/>
      <c r="AF64" s="11">
        <f>IF(OR(AD64="",AE64=""),"",AE64-AD64)</f>
        <v/>
      </c>
      <c r="AG64" s="12" t="n"/>
      <c r="AH64" s="12" t="n"/>
      <c r="AI64" s="13">
        <f>IF(OR(AG64="",AH64=""),"",AH64-AG64)</f>
        <v/>
      </c>
      <c r="AJ64" s="12" t="n"/>
      <c r="AK64" s="12" t="n"/>
      <c r="AL64" s="13">
        <f>IF(OR(AJ64="",AK64=""),"",AK64-AJ64)</f>
        <v/>
      </c>
      <c r="AM64" s="10" t="n"/>
      <c r="AN64" s="10" t="n"/>
      <c r="AO64" s="11">
        <f>IF(OR(AM64="",AN64=""),"",AN64-AM64)</f>
        <v/>
      </c>
      <c r="AP64" s="10" t="n"/>
      <c r="AQ64" s="10" t="n"/>
      <c r="AR64" s="11">
        <f>IF(OR(AP64="",AQ64=""),"",AQ64-AP64)</f>
        <v/>
      </c>
      <c r="AS64" s="10" t="n"/>
      <c r="AT64" s="10" t="n"/>
      <c r="AU64" s="11">
        <f>IF(OR(AS64="",AT64=""),"",AT64-AS64)</f>
        <v/>
      </c>
    </row>
    <row r="65">
      <c r="A65" s="8" t="n">
        <v>58</v>
      </c>
      <c r="B65" s="9" t="n">
        <v>20260980</v>
      </c>
      <c r="C65" s="10" t="n"/>
      <c r="D65" s="10" t="n"/>
      <c r="E65" s="11">
        <f>IF(OR(C65="",D65=""),"",D65-C65)</f>
        <v/>
      </c>
      <c r="F65" s="10" t="n"/>
      <c r="G65" s="10" t="n"/>
      <c r="H65" s="11">
        <f>IF(OR(F65="",G65=""),"",G65-F65)</f>
        <v/>
      </c>
      <c r="I65" s="10" t="n"/>
      <c r="J65" s="10" t="n"/>
      <c r="K65" s="11">
        <f>IF(OR(I65="",J65=""),"",J65-I65)</f>
        <v/>
      </c>
      <c r="L65" s="10" t="n"/>
      <c r="M65" s="10" t="n"/>
      <c r="N65" s="11">
        <f>IF(OR(L65="",M65=""),"",M65-L65)</f>
        <v/>
      </c>
      <c r="O65" s="10" t="n"/>
      <c r="P65" s="10" t="n"/>
      <c r="Q65" s="11">
        <f>IF(OR(O65="",P65=""),"",P65-O65)</f>
        <v/>
      </c>
      <c r="R65" s="10" t="n"/>
      <c r="S65" s="10" t="n"/>
      <c r="T65" s="11">
        <f>IF(OR(R65="",S65=""),"",S65-R65)</f>
        <v/>
      </c>
      <c r="U65" s="12" t="n"/>
      <c r="V65" s="12" t="n"/>
      <c r="W65" s="13">
        <f>IF(OR(U65="",V65=""),"",V65-U65)</f>
        <v/>
      </c>
      <c r="X65" s="10" t="n"/>
      <c r="Y65" s="10" t="n"/>
      <c r="Z65" s="11">
        <f>IF(OR(X65="",Y65=""),"",Y65-X65)</f>
        <v/>
      </c>
      <c r="AA65" s="10" t="n"/>
      <c r="AB65" s="10" t="n"/>
      <c r="AC65" s="11">
        <f>IF(OR(AA65="",AB65=""),"",AB65-AA65)</f>
        <v/>
      </c>
      <c r="AD65" s="10" t="n"/>
      <c r="AE65" s="10" t="n"/>
      <c r="AF65" s="11">
        <f>IF(OR(AD65="",AE65=""),"",AE65-AD65)</f>
        <v/>
      </c>
      <c r="AG65" s="12" t="n"/>
      <c r="AH65" s="12" t="n"/>
      <c r="AI65" s="13">
        <f>IF(OR(AG65="",AH65=""),"",AH65-AG65)</f>
        <v/>
      </c>
      <c r="AJ65" s="12" t="n"/>
      <c r="AK65" s="12" t="n"/>
      <c r="AL65" s="13">
        <f>IF(OR(AJ65="",AK65=""),"",AK65-AJ65)</f>
        <v/>
      </c>
      <c r="AM65" s="10" t="n"/>
      <c r="AN65" s="10" t="n"/>
      <c r="AO65" s="11">
        <f>IF(OR(AM65="",AN65=""),"",AN65-AM65)</f>
        <v/>
      </c>
      <c r="AP65" s="10" t="n"/>
      <c r="AQ65" s="10" t="n"/>
      <c r="AR65" s="11">
        <f>IF(OR(AP65="",AQ65=""),"",AQ65-AP65)</f>
        <v/>
      </c>
      <c r="AS65" s="10" t="n"/>
      <c r="AT65" s="10" t="n"/>
      <c r="AU65" s="11">
        <f>IF(OR(AS65="",AT65=""),"",AT65-AS65)</f>
        <v/>
      </c>
    </row>
    <row r="66">
      <c r="A66" s="8" t="n">
        <v>59</v>
      </c>
      <c r="B66" s="9" t="n">
        <v>20260981</v>
      </c>
      <c r="C66" s="10" t="n"/>
      <c r="D66" s="10" t="n"/>
      <c r="E66" s="11">
        <f>IF(OR(C66="",D66=""),"",D66-C66)</f>
        <v/>
      </c>
      <c r="F66" s="10" t="n"/>
      <c r="G66" s="10" t="n"/>
      <c r="H66" s="11">
        <f>IF(OR(F66="",G66=""),"",G66-F66)</f>
        <v/>
      </c>
      <c r="I66" s="10" t="n"/>
      <c r="J66" s="10" t="n"/>
      <c r="K66" s="11">
        <f>IF(OR(I66="",J66=""),"",J66-I66)</f>
        <v/>
      </c>
      <c r="L66" s="10" t="n"/>
      <c r="M66" s="10" t="n"/>
      <c r="N66" s="11">
        <f>IF(OR(L66="",M66=""),"",M66-L66)</f>
        <v/>
      </c>
      <c r="O66" s="10" t="n"/>
      <c r="P66" s="10" t="n"/>
      <c r="Q66" s="11">
        <f>IF(OR(O66="",P66=""),"",P66-O66)</f>
        <v/>
      </c>
      <c r="R66" s="10" t="n"/>
      <c r="S66" s="10" t="n"/>
      <c r="T66" s="11">
        <f>IF(OR(R66="",S66=""),"",S66-R66)</f>
        <v/>
      </c>
      <c r="U66" s="12" t="n"/>
      <c r="V66" s="12" t="n"/>
      <c r="W66" s="13">
        <f>IF(OR(U66="",V66=""),"",V66-U66)</f>
        <v/>
      </c>
      <c r="X66" s="10" t="n"/>
      <c r="Y66" s="10" t="n"/>
      <c r="Z66" s="11">
        <f>IF(OR(X66="",Y66=""),"",Y66-X66)</f>
        <v/>
      </c>
      <c r="AA66" s="10" t="n"/>
      <c r="AB66" s="10" t="n"/>
      <c r="AC66" s="11">
        <f>IF(OR(AA66="",AB66=""),"",AB66-AA66)</f>
        <v/>
      </c>
      <c r="AD66" s="10" t="n"/>
      <c r="AE66" s="10" t="n"/>
      <c r="AF66" s="11">
        <f>IF(OR(AD66="",AE66=""),"",AE66-AD66)</f>
        <v/>
      </c>
      <c r="AG66" s="12" t="n"/>
      <c r="AH66" s="12" t="n"/>
      <c r="AI66" s="13">
        <f>IF(OR(AG66="",AH66=""),"",AH66-AG66)</f>
        <v/>
      </c>
      <c r="AJ66" s="12" t="n"/>
      <c r="AK66" s="12" t="n"/>
      <c r="AL66" s="13">
        <f>IF(OR(AJ66="",AK66=""),"",AK66-AJ66)</f>
        <v/>
      </c>
      <c r="AM66" s="10" t="n"/>
      <c r="AN66" s="10" t="n"/>
      <c r="AO66" s="11">
        <f>IF(OR(AM66="",AN66=""),"",AN66-AM66)</f>
        <v/>
      </c>
      <c r="AP66" s="10" t="n"/>
      <c r="AQ66" s="10" t="n"/>
      <c r="AR66" s="11">
        <f>IF(OR(AP66="",AQ66=""),"",AQ66-AP66)</f>
        <v/>
      </c>
      <c r="AS66" s="10" t="n"/>
      <c r="AT66" s="10" t="n"/>
      <c r="AU66" s="11">
        <f>IF(OR(AS66="",AT66=""),"",AT66-AS66)</f>
        <v/>
      </c>
    </row>
    <row r="67">
      <c r="A67" s="8" t="n">
        <v>60</v>
      </c>
      <c r="B67" s="9" t="n">
        <v>20260982</v>
      </c>
      <c r="C67" s="10" t="n"/>
      <c r="D67" s="10" t="n"/>
      <c r="E67" s="11">
        <f>IF(OR(C67="",D67=""),"",D67-C67)</f>
        <v/>
      </c>
      <c r="F67" s="10" t="n"/>
      <c r="G67" s="10" t="n"/>
      <c r="H67" s="11">
        <f>IF(OR(F67="",G67=""),"",G67-F67)</f>
        <v/>
      </c>
      <c r="I67" s="10" t="n"/>
      <c r="J67" s="10" t="n"/>
      <c r="K67" s="11">
        <f>IF(OR(I67="",J67=""),"",J67-I67)</f>
        <v/>
      </c>
      <c r="L67" s="10" t="n"/>
      <c r="M67" s="10" t="n"/>
      <c r="N67" s="11">
        <f>IF(OR(L67="",M67=""),"",M67-L67)</f>
        <v/>
      </c>
      <c r="O67" s="10" t="n"/>
      <c r="P67" s="10" t="n"/>
      <c r="Q67" s="11">
        <f>IF(OR(O67="",P67=""),"",P67-O67)</f>
        <v/>
      </c>
      <c r="R67" s="10" t="n"/>
      <c r="S67" s="10" t="n"/>
      <c r="T67" s="11">
        <f>IF(OR(R67="",S67=""),"",S67-R67)</f>
        <v/>
      </c>
      <c r="U67" s="12" t="n"/>
      <c r="V67" s="12" t="n"/>
      <c r="W67" s="13">
        <f>IF(OR(U67="",V67=""),"",V67-U67)</f>
        <v/>
      </c>
      <c r="X67" s="10" t="n"/>
      <c r="Y67" s="10" t="n"/>
      <c r="Z67" s="11">
        <f>IF(OR(X67="",Y67=""),"",Y67-X67)</f>
        <v/>
      </c>
      <c r="AA67" s="10" t="n"/>
      <c r="AB67" s="10" t="n"/>
      <c r="AC67" s="11">
        <f>IF(OR(AA67="",AB67=""),"",AB67-AA67)</f>
        <v/>
      </c>
      <c r="AD67" s="10" t="n"/>
      <c r="AE67" s="10" t="n"/>
      <c r="AF67" s="11">
        <f>IF(OR(AD67="",AE67=""),"",AE67-AD67)</f>
        <v/>
      </c>
      <c r="AG67" s="12" t="n"/>
      <c r="AH67" s="12" t="n"/>
      <c r="AI67" s="13">
        <f>IF(OR(AG67="",AH67=""),"",AH67-AG67)</f>
        <v/>
      </c>
      <c r="AJ67" s="12" t="n"/>
      <c r="AK67" s="12" t="n"/>
      <c r="AL67" s="13">
        <f>IF(OR(AJ67="",AK67=""),"",AK67-AJ67)</f>
        <v/>
      </c>
      <c r="AM67" s="10" t="n"/>
      <c r="AN67" s="10" t="n"/>
      <c r="AO67" s="11">
        <f>IF(OR(AM67="",AN67=""),"",AN67-AM67)</f>
        <v/>
      </c>
      <c r="AP67" s="10" t="n"/>
      <c r="AQ67" s="10" t="n"/>
      <c r="AR67" s="11">
        <f>IF(OR(AP67="",AQ67=""),"",AQ67-AP67)</f>
        <v/>
      </c>
      <c r="AS67" s="10" t="n"/>
      <c r="AT67" s="10" t="n"/>
      <c r="AU67" s="11">
        <f>IF(OR(AS67="",AT67=""),"",AT67-AS67)</f>
        <v/>
      </c>
    </row>
    <row r="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2026-10-05T17:42:57Z</dcterms:created>
  <dcterms:modified xmlns:dcterms="http://purl.org/dc/terms/" xmlns:xsi="http://www.w3.org/2001/XMLSchema-instance" xsi:type="dcterms:W3CDTF">2026-10-05T22:29:35Z</dcterms:modified>
</cp:coreProperties>
</file>