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0984ad61bb47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30f85be9a0a54a81"/>
    <x:sheet xmlns:r="http://schemas.openxmlformats.org/officeDocument/2006/relationships" name="Corridas" sheetId="2" r:id="R70dbb6ff827f4a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0.0%"/>
    <x:numFmt numFmtId="202" formatCode="0"/>
  </x:numFmts>
  <x:fonts count="7">
    <x:font>
      <x:sz val="11"/>
      <x:name val="Carlito"/>
    </x:font>
    <x:font>
      <x:sz val="10"/>
      <x:color rgb="FF1F1F1F"/>
      <x:name val="Arial"/>
    </x:font>
    <x:font>
      <x:b/>
      <x:sz val="14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color rgb="FF17365D"/>
      <x:name val="Arial"/>
    </x:font>
    <x:font>
      <x:b/>
      <x:sz val="10"/>
      <x:color rgb="FF1F1F1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8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A6A6A6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0" fillId="3" borderId="0" xfId="0" applyNumberFormat="1" applyFont="1" applyFill="1" applyBorder="1"/>
    <x:xf numFmtId="200" fontId="0" fillId="2" borderId="0" xfId="0" applyNumberFormat="1" applyFont="1" applyFill="1" applyBorder="1"/>
    <x:xf numFmtId="200" fontId="0" fillId="3" borderId="0" xfId="0" applyNumberFormat="1" applyFont="1" applyFill="1" applyBorder="1"/>
    <x:xf numFmtId="201" fontId="0" fillId="2" borderId="0" xfId="0" applyNumberFormat="1" applyFont="1" applyFill="1" applyBorder="1"/>
    <x:xf numFmtId="201" fontId="0" fillId="3" borderId="0" xfId="0" applyNumberFormat="1" applyFont="1" applyFill="1" applyBorder="1"/>
    <x:xf numFmtId="0" fontId="1" fillId="0" borderId="0" xfId="0" applyNumberFormat="1" applyFont="1" applyFill="1" applyBorder="1"/>
    <x:xf numFmtId="200" fontId="1" fillId="2" borderId="0" xfId="0" applyNumberFormat="1" applyFont="1" applyFill="1" applyBorder="1"/>
    <x:xf numFmtId="200" fontId="1" fillId="3" borderId="0" xfId="0" applyNumberFormat="1" applyFont="1" applyFill="1" applyBorder="1"/>
    <x:xf numFmtId="201" fontId="1" fillId="2" borderId="0" xfId="0" applyNumberFormat="1" applyFont="1" applyFill="1" applyBorder="1"/>
    <x:xf numFmtId="201" fontId="1" fillId="3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2" xfId="0" applyNumberFormat="1" applyFont="1" applyFill="1" applyBorder="1" applyAlignment="1">
      <x:alignment horizontal="center" wrapText="1"/>
    </x:xf>
    <x:xf numFmtId="0" fontId="4" fillId="4" borderId="3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/>
    <x:xf numFmtId="202" fontId="1" fillId="5" borderId="0" xfId="0" applyNumberFormat="1" applyFont="1" applyFill="1" applyBorder="1"/>
    <x:xf numFmtId="202" fontId="1" fillId="5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0" fontId="1" fillId="2" borderId="4" xfId="0" applyNumberFormat="1" applyFont="1" applyFill="1" applyBorder="1" applyAlignment="1">
      <x:alignment vertical="center"/>
    </x:xf>
    <x:xf numFmtId="200" fontId="1" fillId="3" borderId="4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1" fontId="1" fillId="3" borderId="4" xfId="0" applyNumberFormat="1" applyFont="1" applyFill="1" applyBorder="1" applyAlignment="1">
      <x:alignment vertical="center"/>
    </x:xf>
    <x:xf numFmtId="202" fontId="1" fillId="5" borderId="5" xfId="0" applyNumberFormat="1" applyFont="1" applyFill="1" applyBorder="1" applyAlignment="1">
      <x:alignment vertical="center"/>
    </x:xf>
    <x:xf numFmtId="200" fontId="1" fillId="2" borderId="5" xfId="0" applyNumberFormat="1" applyFont="1" applyFill="1" applyBorder="1" applyAlignment="1">
      <x:alignment vertical="center"/>
    </x:xf>
    <x:xf numFmtId="200" fontId="1" fillId="3" borderId="5" xfId="0" applyNumberFormat="1" applyFont="1" applyFill="1" applyBorder="1" applyAlignment="1">
      <x:alignment vertical="center"/>
    </x:xf>
    <x:xf numFmtId="201" fontId="1" fillId="2" borderId="5" xfId="0" applyNumberFormat="1" applyFont="1" applyFill="1" applyBorder="1" applyAlignment="1">
      <x:alignment vertical="center"/>
    </x:xf>
    <x:xf numFmtId="201" fontId="1" fillId="3" borderId="5" xfId="0" applyNumberFormat="1" applyFont="1" applyFill="1" applyBorder="1" applyAlignment="1">
      <x:alignment vertical="center"/>
    </x:xf>
    <x:xf numFmtId="202" fontId="1" fillId="5" borderId="6" xfId="0" applyNumberFormat="1" applyFont="1" applyFill="1" applyBorder="1" applyAlignment="1">
      <x:alignment vertical="center"/>
    </x:xf>
    <x:xf numFmtId="200" fontId="1" fillId="2" borderId="6" xfId="0" applyNumberFormat="1" applyFont="1" applyFill="1" applyBorder="1" applyAlignment="1">
      <x:alignment vertical="center"/>
    </x:xf>
    <x:xf numFmtId="200" fontId="1" fillId="3" borderId="6" xfId="0" applyNumberFormat="1" applyFont="1" applyFill="1" applyBorder="1" applyAlignment="1">
      <x:alignment vertical="center"/>
    </x:xf>
    <x:xf numFmtId="201" fontId="1" fillId="2" borderId="6" xfId="0" applyNumberFormat="1" applyFont="1" applyFill="1" applyBorder="1" applyAlignment="1">
      <x:alignment vertical="center"/>
    </x:xf>
    <x:xf numFmtId="201" fontId="1" fillId="3" borderId="6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5" fillId="5" borderId="0" xfId="0" applyNumberFormat="1" applyFont="1" applyFill="1" applyBorder="1"/>
    <x:xf numFmtId="0" fontId="1" fillId="2" borderId="0" xfId="0" applyNumberFormat="1" applyFont="1" applyFill="1" applyBorder="1"/>
    <x:xf numFmtId="202" fontId="1" fillId="2" borderId="0" xfId="0" applyNumberFormat="1" applyFont="1" applyFill="1" applyBorder="1"/>
    <x:xf numFmtId="0" fontId="6" fillId="2" borderId="0" xfId="0" applyNumberFormat="1" applyFont="1" applyFill="1" applyBorder="1"/>
    <x:xf numFmtId="201" fontId="6" fillId="2" borderId="0" xfId="0" applyNumberFormat="1" applyFont="1" applyFill="1" applyBorder="1"/>
    <x:xf numFmtId="202" fontId="6" fillId="2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200" fontId="1" fillId="0" borderId="5" xfId="0" applyNumberFormat="1" applyFont="1" applyFill="1" applyBorder="1" applyAlignment="1">
      <x:alignment vertical="center"/>
    </x:xf>
    <x:xf numFmtId="201" fontId="1" fillId="0" borderId="5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200" fontId="1" fillId="0" borderId="7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f7b0c81a96472f" /><Relationship Type="http://schemas.openxmlformats.org/officeDocument/2006/relationships/theme" Target="/xl/theme/theme1.xml" Id="R8878e1d964e34714" /><Relationship Type="http://schemas.openxmlformats.org/officeDocument/2006/relationships/sharedStrings" Target="/xl/sharedStrings.xml" Id="R43e574adff56484d" /><Relationship Type="http://schemas.openxmlformats.org/officeDocument/2006/relationships/worksheet" Target="/xl/worksheets/sheet1.xml" Id="R30f85be9a0a54a81" /><Relationship Type="http://schemas.openxmlformats.org/officeDocument/2006/relationships/worksheet" Target="/xl/worksheets/sheet2.xml" Id="R70dbb6ff827f4a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35" hidden="0" customWidth="1"/>
    <x:col min="2" max="2" width="14" hidden="0" customWidth="1"/>
    <x:col min="3" max="3" width="12" hidden="0" customWidth="1"/>
    <x:col min="4" max="4" width="11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28" hidden="0" customWidth="1"/>
  </x:cols>
  <x:sheetData>
    <x:row r="2">
      <x:c r="A2" s="12" t="str">
        <x:v>Comparación apareada E0-E1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>
      <x:c r="A3" s="13" t="str">
        <x:v>Cada diferencia se calcula como E1 menos E0. Un valor negativo mejora las medidas cuyo criterio es Menor.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  <x:c r="N4" s="7"/>
    </x:row>
    <x:row r="5">
      <x:c r="A5" s="56" t="str">
        <x:v>Estado</x:v>
      </x:c>
      <x:c r="B5" s="59" t="str">
        <x:f>IF(MIN(E14,E16,E17)=0,"Sin corridas cargadas",IF(MIN(E14,E16,E17)&lt;30,"Corridas incompletas","Listo para análisis"))</x:f>
        <x:v>Sin corridas cargadas</x:v>
      </x:c>
      <x:c r="C5" s="7"/>
      <x:c r="D5" s="13" t="str">
        <x:v>El intervalo se habilita al completar los 30 pares del diseño inicial.</x:v>
      </x:c>
      <x:c r="E5" s="13"/>
      <x:c r="F5" s="13"/>
      <x:c r="G5" s="13"/>
      <x:c r="H5" s="13"/>
      <x:c r="I5" s="13"/>
      <x:c r="J5" s="13"/>
      <x:c r="K5" s="13"/>
      <x:c r="L5" s="13"/>
      <x:c r="M5" s="13"/>
      <x:c r="N5" s="13"/>
    </x:row>
    <x:row r="6">
      <x:c r="A6" s="56" t="str">
        <x:v>Nivel de confianza familiar</x:v>
      </x:c>
      <x:c r="B6" s="60" t="n">
        <x:v>0.95</x:v>
      </x:c>
      <x:c r="C6" s="7"/>
      <x:c r="D6" s="13" t="str">
        <x:v>t crítico con 29 grados de libertad: 2,045 para medidas descriptivas y 2,541 para las tres comparaciones primarias con Bonferroni.</x:v>
      </x:c>
      <x:c r="E6" s="13"/>
      <x:c r="F6" s="13"/>
      <x:c r="G6" s="13"/>
      <x:c r="H6" s="13"/>
      <x:c r="I6" s="13"/>
      <x:c r="J6" s="13"/>
      <x:c r="K6" s="13"/>
      <x:c r="L6" s="13"/>
      <x:c r="M6" s="13"/>
      <x:c r="N6" s="13"/>
    </x:row>
    <x:row r="7">
      <x:c r="A7" s="56" t="str">
        <x:v>Comparaciones primarias</x:v>
      </x:c>
      <x:c r="B7" s="61" t="n">
        <x:f>COUNTIF(B11:B25,"Primaria")</x:f>
        <x:v>3</x:v>
      </x:c>
      <x:c r="C7" s="7"/>
      <x:c r="D7" s="7"/>
      <x:c r="E7" s="7"/>
      <x:c r="F7" s="7"/>
      <x:c r="G7" s="7"/>
      <x:c r="H7" s="7"/>
      <x:c r="I7" s="7"/>
      <x:c r="J7" s="7"/>
      <x:c r="K7" s="7"/>
      <x:c r="L7" s="7"/>
      <x:c r="M7" s="7"/>
      <x:c r="N7" s="7"/>
    </x:row>
    <x:row r="8">
      <x:c r="A8" s="56" t="str">
        <x:v>Alfa por comparación primaria</x:v>
      </x:c>
      <x:c r="B8" s="60" t="n">
        <x:f>(1-B6)/B7</x:f>
        <x:v>0.01666666666666668</x:v>
      </x:c>
      <x:c r="C8" s="7"/>
      <x:c r="D8" s="7"/>
      <x:c r="E8" s="7"/>
      <x:c r="F8" s="7"/>
      <x:c r="G8" s="7"/>
      <x:c r="H8" s="7"/>
      <x:c r="I8" s="7"/>
      <x:c r="J8" s="7"/>
      <x:c r="K8" s="7"/>
      <x:c r="L8" s="7"/>
      <x:c r="M8" s="7"/>
      <x:c r="N8" s="7"/>
    </x:row>
    <x:row r="9">
      <x:c r="A9" s="7"/>
      <x:c r="B9" s="7"/>
      <x:c r="C9" s="7"/>
      <x:c r="D9" s="7"/>
      <x:c r="E9" s="7"/>
      <x:c r="F9" s="7"/>
      <x:c r="G9" s="7"/>
      <x:c r="H9" s="7"/>
      <x:c r="I9" s="7"/>
      <x:c r="J9" s="7"/>
      <x:c r="K9" s="7"/>
      <x:c r="L9" s="7"/>
      <x:c r="M9" s="7"/>
      <x:c r="N9" s="7"/>
    </x:row>
    <x:row r="10" ht="40" customHeight="1">
      <x:c r="A10" s="25" t="str">
        <x:v>Medida</x:v>
      </x:c>
      <x:c r="B10" s="26" t="str">
        <x:v>Familia</x:v>
      </x:c>
      <x:c r="C10" s="26" t="str">
        <x:v>Criterio</x:v>
      </x:c>
      <x:c r="D10" s="26" t="str">
        <x:v>Unidad</x:v>
      </x:c>
      <x:c r="E10" s="26" t="str">
        <x:v>n pares</x:v>
      </x:c>
      <x:c r="F10" s="26" t="str">
        <x:v>Media E0</x:v>
      </x:c>
      <x:c r="G10" s="26" t="str">
        <x:v>Media E1</x:v>
      </x:c>
      <x:c r="H10" s="26" t="str">
        <x:v>Diferencia media</x:v>
      </x:c>
      <x:c r="I10" s="26" t="str">
        <x:v>Desvío de diferencias</x:v>
      </x:c>
      <x:c r="J10" s="26" t="str">
        <x:v>Error estándar</x:v>
      </x:c>
      <x:c r="K10" s="26" t="str">
        <x:v>t crítico</x:v>
      </x:c>
      <x:c r="L10" s="26" t="str">
        <x:v>IC inferior</x:v>
      </x:c>
      <x:c r="M10" s="26" t="str">
        <x:v>IC superior</x:v>
      </x:c>
      <x:c r="N10" s="27" t="str">
        <x:v>Conclusión</x:v>
      </x:c>
    </x:row>
    <x:row r="11">
      <x:c r="A11" s="65" t="str">
        <x:v>Pasajeros generados</x:v>
      </x:c>
      <x:c r="B11" s="65" t="str">
        <x:v>Descriptiva</x:v>
      </x:c>
      <x:c r="C11" s="65" t="str">
        <x:v>Igual</x:v>
      </x:c>
      <x:c r="D11" s="65" t="str">
        <x:v>pasajeros</x:v>
      </x:c>
      <x:c r="E11" s="65" t="n">
        <x:f>COUNT(Corridas!$E$8:$E$37)</x:f>
        <x:v>0</x:v>
      </x:c>
      <x:c r="F11" s="66" t="str">
        <x:f>IF(E11=0,"",AVERAGE(Corridas!$C$8:$C$37))</x:f>
      </x:c>
      <x:c r="G11" s="66" t="str">
        <x:f>IF(E11=0,"",AVERAGE(Corridas!$D$8:$D$37))</x:f>
      </x:c>
      <x:c r="H11" s="66" t="str">
        <x:f>IF(E11=0,"",AVERAGE(Corridas!$E$8:$E$37))</x:f>
      </x:c>
      <x:c r="I11" s="66" t="str">
        <x:f>IF(E11&lt;2,"",STDEV.S(Corridas!$E$8:$E$37))</x:f>
      </x:c>
      <x:c r="J11" s="66" t="str">
        <x:f>IF(E11&lt;2,"",I11/SQRT(E11))</x:f>
      </x:c>
      <x:c r="K11" s="66" t="str">
        <x:f>IF(E11&lt;30,"",IF(B11="Primaria",2.54089809,2.04522964))</x:f>
      </x:c>
      <x:c r="L11" s="66" t="str">
        <x:f>IF(E11&lt;30,"",H11-K11*J11)</x:f>
      </x:c>
      <x:c r="M11" s="66" t="str">
        <x:f>IF(E11&lt;30,"",H11+K11*J11)</x:f>
      </x:c>
      <x:c r="N11" s="65" t="str">
        <x:f>IF(E11&lt;30,"Pendiente",IF(C11="Igual",IF(AND(L11&lt;=0,M11&gt;=0),"Compatible con igualdad","Diferencia detectada"),IF(C11="Mayor",IF(L11&gt;0,"Mejora concluyente",IF(M11&lt;0,"Empeora concluyentemente","Sin evidencia suficiente")),IF(M11&lt;0,"Mejora concluyente",IF(L11&gt;0,"Empeora concluyentemente","Sin evidencia suficiente")))))</x:f>
        <x:v>Pendiente</x:v>
      </x:c>
    </x:row>
    <x:row r="12">
      <x:c r="A12" s="67" t="str">
        <x:v>Pasajeros desviados</x:v>
      </x:c>
      <x:c r="B12" s="67" t="str">
        <x:v>Descriptiva</x:v>
      </x:c>
      <x:c r="C12" s="67" t="str">
        <x:v>Igual</x:v>
      </x:c>
      <x:c r="D12" s="67" t="str">
        <x:v>pasajeros</x:v>
      </x:c>
      <x:c r="E12" s="67" t="n">
        <x:f>COUNT(Corridas!$H$8:$H$37)</x:f>
        <x:v>0</x:v>
      </x:c>
      <x:c r="F12" s="68" t="str">
        <x:f>IF(E12=0,"",AVERAGE(Corridas!$F$8:$F$37))</x:f>
      </x:c>
      <x:c r="G12" s="68" t="str">
        <x:f>IF(E12=0,"",AVERAGE(Corridas!$G$8:$G$37))</x:f>
      </x:c>
      <x:c r="H12" s="68" t="str">
        <x:f>IF(E12=0,"",AVERAGE(Corridas!$H$8:$H$37))</x:f>
      </x:c>
      <x:c r="I12" s="68" t="str">
        <x:f>IF(E12&lt;2,"",STDEV.S(Corridas!$H$8:$H$37))</x:f>
      </x:c>
      <x:c r="J12" s="68" t="str">
        <x:f>IF(E12&lt;2,"",I12/SQRT(E12))</x:f>
      </x:c>
      <x:c r="K12" s="68" t="str">
        <x:f>IF(E12&lt;30,"",IF(B12="Primaria",2.54089809,2.04522964))</x:f>
      </x:c>
      <x:c r="L12" s="68" t="str">
        <x:f>IF(E12&lt;30,"",H12-K12*J12)</x:f>
      </x:c>
      <x:c r="M12" s="68" t="str">
        <x:f>IF(E12&lt;30,"",H12+K12*J12)</x:f>
      </x:c>
      <x:c r="N12" s="67" t="str">
        <x:f>IF(E12&lt;30,"Pendiente",IF(C12="Igual",IF(AND(L12&lt;=0,M12&gt;=0),"Compatible con igualdad","Diferencia detectada"),IF(C12="Mayor",IF(L12&gt;0,"Mejora concluyente",IF(M12&lt;0,"Empeora concluyentemente","Sin evidencia suficiente")),IF(M12&lt;0,"Mejora concluyente",IF(L12&gt;0,"Empeora concluyentemente","Sin evidencia suficiente")))))</x:f>
        <x:v>Pendiente</x:v>
      </x:c>
    </x:row>
    <x:row r="13">
      <x:c r="A13" s="67" t="str">
        <x:v>Procesados a las 09:30</x:v>
      </x:c>
      <x:c r="B13" s="67" t="str">
        <x:v>Descriptiva</x:v>
      </x:c>
      <x:c r="C13" s="67" t="str">
        <x:v>Mayor</x:v>
      </x:c>
      <x:c r="D13" s="67" t="str">
        <x:v>pasajeros</x:v>
      </x:c>
      <x:c r="E13" s="67" t="n">
        <x:f>COUNT(Corridas!$K$8:$K$37)</x:f>
        <x:v>0</x:v>
      </x:c>
      <x:c r="F13" s="68" t="str">
        <x:f>IF(E13=0,"",AVERAGE(Corridas!$I$8:$I$37))</x:f>
      </x:c>
      <x:c r="G13" s="68" t="str">
        <x:f>IF(E13=0,"",AVERAGE(Corridas!$J$8:$J$37))</x:f>
      </x:c>
      <x:c r="H13" s="68" t="str">
        <x:f>IF(E13=0,"",AVERAGE(Corridas!$K$8:$K$37))</x:f>
      </x:c>
      <x:c r="I13" s="68" t="str">
        <x:f>IF(E13&lt;2,"",STDEV.S(Corridas!$K$8:$K$37))</x:f>
      </x:c>
      <x:c r="J13" s="68" t="str">
        <x:f>IF(E13&lt;2,"",I13/SQRT(E13))</x:f>
      </x:c>
      <x:c r="K13" s="68" t="str">
        <x:f>IF(E13&lt;30,"",IF(B13="Primaria",2.54089809,2.04522964))</x:f>
      </x:c>
      <x:c r="L13" s="68" t="str">
        <x:f>IF(E13&lt;30,"",H13-K13*J13)</x:f>
      </x:c>
      <x:c r="M13" s="68" t="str">
        <x:f>IF(E13&lt;30,"",H13+K13*J13)</x:f>
      </x:c>
      <x:c r="N13" s="67" t="str">
        <x:f>IF(E13&lt;30,"Pendiente",IF(C13="Igual",IF(AND(L13&lt;=0,M13&gt;=0),"Compatible con igualdad","Diferencia detectada"),IF(C13="Mayor",IF(L13&gt;0,"Mejora concluyente",IF(M13&lt;0,"Empeora concluyentemente","Sin evidencia suficiente")),IF(M13&lt;0,"Mejora concluyente",IF(L13&gt;0,"Empeora concluyentemente","Sin evidencia suficiente")))))</x:f>
        <x:v>Pendiente</x:v>
      </x:c>
    </x:row>
    <x:row r="14">
      <x:c r="A14" s="67" t="str">
        <x:v>Procesados con drenaje</x:v>
      </x:c>
      <x:c r="B14" s="67" t="str">
        <x:v>Primaria</x:v>
      </x:c>
      <x:c r="C14" s="67" t="str">
        <x:v>Mayor</x:v>
      </x:c>
      <x:c r="D14" s="67" t="str">
        <x:v>pasajeros</x:v>
      </x:c>
      <x:c r="E14" s="67" t="n">
        <x:f>COUNT(Corridas!$N$8:$N$37)</x:f>
        <x:v>0</x:v>
      </x:c>
      <x:c r="F14" s="68" t="str">
        <x:f>IF(E14=0,"",AVERAGE(Corridas!$L$8:$L$37))</x:f>
      </x:c>
      <x:c r="G14" s="68" t="str">
        <x:f>IF(E14=0,"",AVERAGE(Corridas!$M$8:$M$37))</x:f>
      </x:c>
      <x:c r="H14" s="68" t="str">
        <x:f>IF(E14=0,"",AVERAGE(Corridas!$N$8:$N$37))</x:f>
      </x:c>
      <x:c r="I14" s="68" t="str">
        <x:f>IF(E14&lt;2,"",STDEV.S(Corridas!$N$8:$N$37))</x:f>
      </x:c>
      <x:c r="J14" s="68" t="str">
        <x:f>IF(E14&lt;2,"",I14/SQRT(E14))</x:f>
      </x:c>
      <x:c r="K14" s="68" t="str">
        <x:f>IF(E14&lt;30,"",IF(B14="Primaria",2.54089809,2.04522964))</x:f>
      </x:c>
      <x:c r="L14" s="68" t="str">
        <x:f>IF(E14&lt;30,"",H14-K14*J14)</x:f>
      </x:c>
      <x:c r="M14" s="68" t="str">
        <x:f>IF(E14&lt;30,"",H14+K14*J14)</x:f>
      </x:c>
      <x:c r="N14" s="67" t="str">
        <x:f>IF(E14&lt;30,"Pendiente",IF(C14="Igual",IF(AND(L14&lt;=0,M14&gt;=0),"Compatible con igualdad","Diferencia detectada"),IF(C14="Mayor",IF(L14&gt;0,"Mejora concluyente",IF(M14&lt;0,"Empeora concluyentemente","Sin evidencia suficiente")),IF(M14&lt;0,"Mejora concluyente",IF(L14&gt;0,"Empeora concluyentemente","Sin evidencia suficiente")))))</x:f>
        <x:v>Pendiente</x:v>
      </x:c>
    </x:row>
    <x:row r="15">
      <x:c r="A15" s="67" t="str">
        <x:v>Espera media</x:v>
      </x:c>
      <x:c r="B15" s="67" t="str">
        <x:v>Descriptiva</x:v>
      </x:c>
      <x:c r="C15" s="67" t="str">
        <x:v>Menor</x:v>
      </x:c>
      <x:c r="D15" s="67" t="str">
        <x:v>s</x:v>
      </x:c>
      <x:c r="E15" s="67" t="n">
        <x:f>COUNT(Corridas!$Q$8:$Q$37)</x:f>
        <x:v>0</x:v>
      </x:c>
      <x:c r="F15" s="68" t="str">
        <x:f>IF(E15=0,"",AVERAGE(Corridas!$O$8:$O$37))</x:f>
      </x:c>
      <x:c r="G15" s="68" t="str">
        <x:f>IF(E15=0,"",AVERAGE(Corridas!$P$8:$P$37))</x:f>
      </x:c>
      <x:c r="H15" s="68" t="str">
        <x:f>IF(E15=0,"",AVERAGE(Corridas!$Q$8:$Q$37))</x:f>
      </x:c>
      <x:c r="I15" s="68" t="str">
        <x:f>IF(E15&lt;2,"",STDEV.S(Corridas!$Q$8:$Q$37))</x:f>
      </x:c>
      <x:c r="J15" s="68" t="str">
        <x:f>IF(E15&lt;2,"",I15/SQRT(E15))</x:f>
      </x:c>
      <x:c r="K15" s="68" t="str">
        <x:f>IF(E15&lt;30,"",IF(B15="Primaria",2.54089809,2.04522964))</x:f>
      </x:c>
      <x:c r="L15" s="68" t="str">
        <x:f>IF(E15&lt;30,"",H15-K15*J15)</x:f>
      </x:c>
      <x:c r="M15" s="68" t="str">
        <x:f>IF(E15&lt;30,"",H15+K15*J15)</x:f>
      </x:c>
      <x:c r="N15" s="67" t="str">
        <x:f>IF(E15&lt;30,"Pendiente",IF(C15="Igual",IF(AND(L15&lt;=0,M15&gt;=0),"Compatible con igualdad","Diferencia detectada"),IF(C15="Mayor",IF(L15&gt;0,"Mejora concluyente",IF(M15&lt;0,"Empeora concluyentemente","Sin evidencia suficiente")),IF(M15&lt;0,"Mejora concluyente",IF(L15&gt;0,"Empeora concluyentemente","Sin evidencia suficiente")))))</x:f>
        <x:v>Pendiente</x:v>
      </x:c>
    </x:row>
    <x:row r="16">
      <x:c r="A16" s="67" t="str">
        <x:v>P90 de espera</x:v>
      </x:c>
      <x:c r="B16" s="67" t="str">
        <x:v>Primaria</x:v>
      </x:c>
      <x:c r="C16" s="67" t="str">
        <x:v>Menor</x:v>
      </x:c>
      <x:c r="D16" s="67" t="str">
        <x:v>s</x:v>
      </x:c>
      <x:c r="E16" s="67" t="n">
        <x:f>COUNT(Corridas!$T$8:$T$37)</x:f>
        <x:v>0</x:v>
      </x:c>
      <x:c r="F16" s="68" t="str">
        <x:f>IF(E16=0,"",AVERAGE(Corridas!$R$8:$R$37))</x:f>
      </x:c>
      <x:c r="G16" s="68" t="str">
        <x:f>IF(E16=0,"",AVERAGE(Corridas!$S$8:$S$37))</x:f>
      </x:c>
      <x:c r="H16" s="68" t="str">
        <x:f>IF(E16=0,"",AVERAGE(Corridas!$T$8:$T$37))</x:f>
      </x:c>
      <x:c r="I16" s="68" t="str">
        <x:f>IF(E16&lt;2,"",STDEV.S(Corridas!$T$8:$T$37))</x:f>
      </x:c>
      <x:c r="J16" s="68" t="str">
        <x:f>IF(E16&lt;2,"",I16/SQRT(E16))</x:f>
      </x:c>
      <x:c r="K16" s="68" t="str">
        <x:f>IF(E16&lt;30,"",IF(B16="Primaria",2.54089809,2.04522964))</x:f>
      </x:c>
      <x:c r="L16" s="68" t="str">
        <x:f>IF(E16&lt;30,"",H16-K16*J16)</x:f>
      </x:c>
      <x:c r="M16" s="68" t="str">
        <x:f>IF(E16&lt;30,"",H16+K16*J16)</x:f>
      </x:c>
      <x:c r="N16" s="67" t="str">
        <x:f>IF(E16&lt;30,"Pendiente",IF(C16="Igual",IF(AND(L16&lt;=0,M16&gt;=0),"Compatible con igualdad","Diferencia detectada"),IF(C16="Mayor",IF(L16&gt;0,"Mejora concluyente",IF(M16&lt;0,"Empeora concluyentemente","Sin evidencia suficiente")),IF(M16&lt;0,"Mejora concluyente",IF(L16&gt;0,"Empeora concluyentemente","Sin evidencia suficiente")))))</x:f>
        <x:v>Pendiente</x:v>
      </x:c>
    </x:row>
    <x:row r="17">
      <x:c r="A17" s="67" t="str">
        <x:v>Proporción con espera mayor a 30 s</x:v>
      </x:c>
      <x:c r="B17" s="67" t="str">
        <x:v>Primaria</x:v>
      </x:c>
      <x:c r="C17" s="67" t="str">
        <x:v>Menor</x:v>
      </x:c>
      <x:c r="D17" s="67" t="str">
        <x:v>%</x:v>
      </x:c>
      <x:c r="E17" s="67" t="n">
        <x:f>COUNT(Corridas!$W$8:$W$37)</x:f>
        <x:v>0</x:v>
      </x:c>
      <x:c r="F17" s="69" t="str">
        <x:f>IF(E17=0,"",AVERAGE(Corridas!$U$8:$U$37))</x:f>
      </x:c>
      <x:c r="G17" s="69" t="str">
        <x:f>IF(E17=0,"",AVERAGE(Corridas!$V$8:$V$37))</x:f>
      </x:c>
      <x:c r="H17" s="69" t="str">
        <x:f>IF(E17=0,"",AVERAGE(Corridas!$W$8:$W$37))</x:f>
      </x:c>
      <x:c r="I17" s="69" t="str">
        <x:f>IF(E17&lt;2,"",STDEV.S(Corridas!$W$8:$W$37))</x:f>
      </x:c>
      <x:c r="J17" s="69" t="str">
        <x:f>IF(E17&lt;2,"",I17/SQRT(E17))</x:f>
      </x:c>
      <x:c r="K17" s="69" t="str">
        <x:f>IF(E17&lt;30,"",IF(B17="Primaria",2.54089809,2.04522964))</x:f>
      </x:c>
      <x:c r="L17" s="69" t="str">
        <x:f>IF(E17&lt;30,"",H17-K17*J17)</x:f>
      </x:c>
      <x:c r="M17" s="69" t="str">
        <x:f>IF(E17&lt;30,"",H17+K17*J17)</x:f>
      </x:c>
      <x:c r="N17" s="67" t="str">
        <x:f>IF(E17&lt;30,"Pendiente",IF(C17="Igual",IF(AND(L17&lt;=0,M17&gt;=0),"Compatible con igualdad","Diferencia detectada"),IF(C17="Mayor",IF(L17&gt;0,"Mejora concluyente",IF(M17&lt;0,"Empeora concluyentemente","Sin evidencia suficiente")),IF(M17&lt;0,"Mejora concluyente",IF(L17&gt;0,"Empeora concluyentemente","Sin evidencia suficiente")))))</x:f>
        <x:v>Pendiente</x:v>
      </x:c>
    </x:row>
    <x:row r="18">
      <x:c r="A18" s="67" t="str">
        <x:v>Lq</x:v>
      </x:c>
      <x:c r="B18" s="67" t="str">
        <x:v>Descriptiva</x:v>
      </x:c>
      <x:c r="C18" s="67" t="str">
        <x:v>Menor</x:v>
      </x:c>
      <x:c r="D18" s="67" t="str">
        <x:v>pasajeros</x:v>
      </x:c>
      <x:c r="E18" s="67" t="n">
        <x:f>COUNT(Corridas!$Z$8:$Z$37)</x:f>
        <x:v>0</x:v>
      </x:c>
      <x:c r="F18" s="68" t="str">
        <x:f>IF(E18=0,"",AVERAGE(Corridas!$X$8:$X$37))</x:f>
      </x:c>
      <x:c r="G18" s="68" t="str">
        <x:f>IF(E18=0,"",AVERAGE(Corridas!$Y$8:$Y$37))</x:f>
      </x:c>
      <x:c r="H18" s="68" t="str">
        <x:f>IF(E18=0,"",AVERAGE(Corridas!$Z$8:$Z$37))</x:f>
      </x:c>
      <x:c r="I18" s="68" t="str">
        <x:f>IF(E18&lt;2,"",STDEV.S(Corridas!$Z$8:$Z$37))</x:f>
      </x:c>
      <x:c r="J18" s="68" t="str">
        <x:f>IF(E18&lt;2,"",I18/SQRT(E18))</x:f>
      </x:c>
      <x:c r="K18" s="68" t="str">
        <x:f>IF(E18&lt;30,"",IF(B18="Primaria",2.54089809,2.04522964))</x:f>
      </x:c>
      <x:c r="L18" s="68" t="str">
        <x:f>IF(E18&lt;30,"",H18-K18*J18)</x:f>
      </x:c>
      <x:c r="M18" s="68" t="str">
        <x:f>IF(E18&lt;30,"",H18+K18*J18)</x:f>
      </x:c>
      <x:c r="N18" s="67" t="str">
        <x:f>IF(E18&lt;30,"Pendiente",IF(C18="Igual",IF(AND(L18&lt;=0,M18&gt;=0),"Compatible con igualdad","Diferencia detectada"),IF(C18="Mayor",IF(L18&gt;0,"Mejora concluyente",IF(M18&lt;0,"Empeora concluyentemente","Sin evidencia suficiente")),IF(M18&lt;0,"Mejora concluyente",IF(L18&gt;0,"Empeora concluyentemente","Sin evidencia suficiente")))))</x:f>
        <x:v>Pendiente</x:v>
      </x:c>
    </x:row>
    <x:row r="19">
      <x:c r="A19" s="67" t="str">
        <x:v>Cola máxima</x:v>
      </x:c>
      <x:c r="B19" s="67" t="str">
        <x:v>Descriptiva</x:v>
      </x:c>
      <x:c r="C19" s="67" t="str">
        <x:v>Menor</x:v>
      </x:c>
      <x:c r="D19" s="67" t="str">
        <x:v>pasajeros</x:v>
      </x:c>
      <x:c r="E19" s="67" t="n">
        <x:f>COUNT(Corridas!$AC$8:$AC$37)</x:f>
        <x:v>0</x:v>
      </x:c>
      <x:c r="F19" s="68" t="str">
        <x:f>IF(E19=0,"",AVERAGE(Corridas!$AA$8:$AA$37))</x:f>
      </x:c>
      <x:c r="G19" s="68" t="str">
        <x:f>IF(E19=0,"",AVERAGE(Corridas!$AB$8:$AB$37))</x:f>
      </x:c>
      <x:c r="H19" s="68" t="str">
        <x:f>IF(E19=0,"",AVERAGE(Corridas!$AC$8:$AC$37))</x:f>
      </x:c>
      <x:c r="I19" s="68" t="str">
        <x:f>IF(E19&lt;2,"",STDEV.S(Corridas!$AC$8:$AC$37))</x:f>
      </x:c>
      <x:c r="J19" s="68" t="str">
        <x:f>IF(E19&lt;2,"",I19/SQRT(E19))</x:f>
      </x:c>
      <x:c r="K19" s="68" t="str">
        <x:f>IF(E19&lt;30,"",IF(B19="Primaria",2.54089809,2.04522964))</x:f>
      </x:c>
      <x:c r="L19" s="68" t="str">
        <x:f>IF(E19&lt;30,"",H19-K19*J19)</x:f>
      </x:c>
      <x:c r="M19" s="68" t="str">
        <x:f>IF(E19&lt;30,"",H19+K19*J19)</x:f>
      </x:c>
      <x:c r="N19" s="67" t="str">
        <x:f>IF(E19&lt;30,"Pendiente",IF(C19="Igual",IF(AND(L19&lt;=0,M19&gt;=0),"Compatible con igualdad","Diferencia detectada"),IF(C19="Mayor",IF(L19&gt;0,"Mejora concluyente",IF(M19&lt;0,"Empeora concluyentemente","Sin evidencia suficiente")),IF(M19&lt;0,"Mejora concluyente",IF(L19&gt;0,"Empeora concluyentemente","Sin evidencia suficiente")))))</x:f>
        <x:v>Pendiente</x:v>
      </x:c>
    </x:row>
    <x:row r="20">
      <x:c r="A20" s="67" t="str">
        <x:v>Tiempo de disipación</x:v>
      </x:c>
      <x:c r="B20" s="67" t="str">
        <x:v>Descriptiva</x:v>
      </x:c>
      <x:c r="C20" s="67" t="str">
        <x:v>Menor</x:v>
      </x:c>
      <x:c r="D20" s="67" t="str">
        <x:v>s</x:v>
      </x:c>
      <x:c r="E20" s="67" t="n">
        <x:f>COUNT(Corridas!$AF$8:$AF$37)</x:f>
        <x:v>0</x:v>
      </x:c>
      <x:c r="F20" s="68" t="str">
        <x:f>IF(E20=0,"",AVERAGE(Corridas!$AD$8:$AD$37))</x:f>
      </x:c>
      <x:c r="G20" s="68" t="str">
        <x:f>IF(E20=0,"",AVERAGE(Corridas!$AE$8:$AE$37))</x:f>
      </x:c>
      <x:c r="H20" s="68" t="str">
        <x:f>IF(E20=0,"",AVERAGE(Corridas!$AF$8:$AF$37))</x:f>
      </x:c>
      <x:c r="I20" s="68" t="str">
        <x:f>IF(E20&lt;2,"",STDEV.S(Corridas!$AF$8:$AF$37))</x:f>
      </x:c>
      <x:c r="J20" s="68" t="str">
        <x:f>IF(E20&lt;2,"",I20/SQRT(E20))</x:f>
      </x:c>
      <x:c r="K20" s="68" t="str">
        <x:f>IF(E20&lt;30,"",IF(B20="Primaria",2.54089809,2.04522964))</x:f>
      </x:c>
      <x:c r="L20" s="68" t="str">
        <x:f>IF(E20&lt;30,"",H20-K20*J20)</x:f>
      </x:c>
      <x:c r="M20" s="68" t="str">
        <x:f>IF(E20&lt;30,"",H20+K20*J20)</x:f>
      </x:c>
      <x:c r="N20" s="67" t="str">
        <x:f>IF(E20&lt;30,"Pendiente",IF(C20="Igual",IF(AND(L20&lt;=0,M20&gt;=0),"Compatible con igualdad","Diferencia detectada"),IF(C20="Mayor",IF(L20&gt;0,"Mejora concluyente",IF(M20&lt;0,"Empeora concluyentemente","Sin evidencia suficiente")),IF(M20&lt;0,"Mejora concluyente",IF(L20&gt;0,"Empeora concluyentemente","Sin evidencia suficiente")))))</x:f>
        <x:v>Pendiente</x:v>
      </x:c>
    </x:row>
    <x:row r="21">
      <x:c r="A21" s="67" t="str">
        <x:v>Utilización media</x:v>
      </x:c>
      <x:c r="B21" s="67" t="str">
        <x:v>Descriptiva</x:v>
      </x:c>
      <x:c r="C21" s="67" t="str">
        <x:v>Menor</x:v>
      </x:c>
      <x:c r="D21" s="67" t="str">
        <x:v>%</x:v>
      </x:c>
      <x:c r="E21" s="67" t="n">
        <x:f>COUNT(Corridas!$AI$8:$AI$37)</x:f>
        <x:v>0</x:v>
      </x:c>
      <x:c r="F21" s="69" t="str">
        <x:f>IF(E21=0,"",AVERAGE(Corridas!$AG$8:$AG$37))</x:f>
      </x:c>
      <x:c r="G21" s="69" t="str">
        <x:f>IF(E21=0,"",AVERAGE(Corridas!$AH$8:$AH$37))</x:f>
      </x:c>
      <x:c r="H21" s="69" t="str">
        <x:f>IF(E21=0,"",AVERAGE(Corridas!$AI$8:$AI$37))</x:f>
      </x:c>
      <x:c r="I21" s="69" t="str">
        <x:f>IF(E21&lt;2,"",STDEV.S(Corridas!$AI$8:$AI$37))</x:f>
      </x:c>
      <x:c r="J21" s="69" t="str">
        <x:f>IF(E21&lt;2,"",I21/SQRT(E21))</x:f>
      </x:c>
      <x:c r="K21" s="69" t="str">
        <x:f>IF(E21&lt;30,"",IF(B21="Primaria",2.54089809,2.04522964))</x:f>
      </x:c>
      <x:c r="L21" s="69" t="str">
        <x:f>IF(E21&lt;30,"",H21-K21*J21)</x:f>
      </x:c>
      <x:c r="M21" s="69" t="str">
        <x:f>IF(E21&lt;30,"",H21+K21*J21)</x:f>
      </x:c>
      <x:c r="N21" s="67" t="str">
        <x:f>IF(E21&lt;30,"Pendiente",IF(C21="Igual",IF(AND(L21&lt;=0,M21&gt;=0),"Compatible con igualdad","Diferencia detectada"),IF(C21="Mayor",IF(L21&gt;0,"Mejora concluyente",IF(M21&lt;0,"Empeora concluyentemente","Sin evidencia suficiente")),IF(M21&lt;0,"Mejora concluyente",IF(L21&gt;0,"Empeora concluyentemente","Sin evidencia suficiente")))))</x:f>
        <x:v>Pendiente</x:v>
      </x:c>
    </x:row>
    <x:row r="22">
      <x:c r="A22" s="67" t="str">
        <x:v>Dispersión de utilización</x:v>
      </x:c>
      <x:c r="B22" s="67" t="str">
        <x:v>Descriptiva</x:v>
      </x:c>
      <x:c r="C22" s="67" t="str">
        <x:v>Menor</x:v>
      </x:c>
      <x:c r="D22" s="67" t="str">
        <x:v>p.p.</x:v>
      </x:c>
      <x:c r="E22" s="67" t="n">
        <x:f>COUNT(Corridas!$AL$8:$AL$37)</x:f>
        <x:v>0</x:v>
      </x:c>
      <x:c r="F22" s="68" t="str">
        <x:f>IF(E22=0,"",AVERAGE(Corridas!$AJ$8:$AJ$37))</x:f>
      </x:c>
      <x:c r="G22" s="68" t="str">
        <x:f>IF(E22=0,"",AVERAGE(Corridas!$AK$8:$AK$37))</x:f>
      </x:c>
      <x:c r="H22" s="68" t="str">
        <x:f>IF(E22=0,"",AVERAGE(Corridas!$AL$8:$AL$37))</x:f>
      </x:c>
      <x:c r="I22" s="68" t="str">
        <x:f>IF(E22&lt;2,"",STDEV.S(Corridas!$AL$8:$AL$37))</x:f>
      </x:c>
      <x:c r="J22" s="68" t="str">
        <x:f>IF(E22&lt;2,"",I22/SQRT(E22))</x:f>
      </x:c>
      <x:c r="K22" s="68" t="str">
        <x:f>IF(E22&lt;30,"",IF(B22="Primaria",2.54089809,2.04522964))</x:f>
      </x:c>
      <x:c r="L22" s="68" t="str">
        <x:f>IF(E22&lt;30,"",H22-K22*J22)</x:f>
      </x:c>
      <x:c r="M22" s="68" t="str">
        <x:f>IF(E22&lt;30,"",H22+K22*J22)</x:f>
      </x:c>
      <x:c r="N22" s="67" t="str">
        <x:f>IF(E22&lt;30,"Pendiente",IF(C22="Igual",IF(AND(L22&lt;=0,M22&gt;=0),"Compatible con igualdad","Diferencia detectada"),IF(C22="Mayor",IF(L22&gt;0,"Mejora concluyente",IF(M22&lt;0,"Empeora concluyentemente","Sin evidencia suficiente")),IF(M22&lt;0,"Mejora concluyente",IF(L22&gt;0,"Empeora concluyentemente","Sin evidencia suficiente")))))</x:f>
        <x:v>Pendiente</x:v>
      </x:c>
    </x:row>
    <x:row r="23">
      <x:c r="A23" s="67" t="str">
        <x:v>Pasajeros de la cohorte pico</x:v>
      </x:c>
      <x:c r="B23" s="67" t="str">
        <x:v>Descriptiva</x:v>
      </x:c>
      <x:c r="C23" s="67" t="str">
        <x:v>Igual</x:v>
      </x:c>
      <x:c r="D23" s="67" t="str">
        <x:v>pasajeros</x:v>
      </x:c>
      <x:c r="E23" s="67" t="n">
        <x:f>COUNT(Corridas!$AO$8:$AO$37)</x:f>
        <x:v>0</x:v>
      </x:c>
      <x:c r="F23" s="68" t="str">
        <x:f>IF(E23=0,"",AVERAGE(Corridas!$AM$8:$AM$37))</x:f>
      </x:c>
      <x:c r="G23" s="68" t="str">
        <x:f>IF(E23=0,"",AVERAGE(Corridas!$AN$8:$AN$37))</x:f>
      </x:c>
      <x:c r="H23" s="68" t="str">
        <x:f>IF(E23=0,"",AVERAGE(Corridas!$AO$8:$AO$37))</x:f>
      </x:c>
      <x:c r="I23" s="68" t="str">
        <x:f>IF(E23&lt;2,"",STDEV.S(Corridas!$AO$8:$AO$37))</x:f>
      </x:c>
      <x:c r="J23" s="68" t="str">
        <x:f>IF(E23&lt;2,"",I23/SQRT(E23))</x:f>
      </x:c>
      <x:c r="K23" s="68" t="str">
        <x:f>IF(E23&lt;30,"",IF(B23="Primaria",2.54089809,2.04522964))</x:f>
      </x:c>
      <x:c r="L23" s="68" t="str">
        <x:f>IF(E23&lt;30,"",H23-K23*J23)</x:f>
      </x:c>
      <x:c r="M23" s="68" t="str">
        <x:f>IF(E23&lt;30,"",H23+K23*J23)</x:f>
      </x:c>
      <x:c r="N23" s="67" t="str">
        <x:f>IF(E23&lt;30,"Pendiente",IF(C23="Igual",IF(AND(L23&lt;=0,M23&gt;=0),"Compatible con igualdad","Diferencia detectada"),IF(C23="Mayor",IF(L23&gt;0,"Mejora concluyente",IF(M23&lt;0,"Empeora concluyentemente","Sin evidencia suficiente")),IF(M23&lt;0,"Mejora concluyente",IF(L23&gt;0,"Empeora concluyentemente","Sin evidencia suficiente")))))</x:f>
        <x:v>Pendiente</x:v>
      </x:c>
    </x:row>
    <x:row r="24">
      <x:c r="A24" s="67" t="str">
        <x:v>Espera media de la cohorte pico</x:v>
      </x:c>
      <x:c r="B24" s="67" t="str">
        <x:v>Descriptiva</x:v>
      </x:c>
      <x:c r="C24" s="67" t="str">
        <x:v>Menor</x:v>
      </x:c>
      <x:c r="D24" s="67" t="str">
        <x:v>s</x:v>
      </x:c>
      <x:c r="E24" s="67" t="n">
        <x:f>COUNT(Corridas!$AR$8:$AR$37)</x:f>
        <x:v>0</x:v>
      </x:c>
      <x:c r="F24" s="68" t="str">
        <x:f>IF(E24=0,"",AVERAGE(Corridas!$AP$8:$AP$37))</x:f>
      </x:c>
      <x:c r="G24" s="68" t="str">
        <x:f>IF(E24=0,"",AVERAGE(Corridas!$AQ$8:$AQ$37))</x:f>
      </x:c>
      <x:c r="H24" s="68" t="str">
        <x:f>IF(E24=0,"",AVERAGE(Corridas!$AR$8:$AR$37))</x:f>
      </x:c>
      <x:c r="I24" s="68" t="str">
        <x:f>IF(E24&lt;2,"",STDEV.S(Corridas!$AR$8:$AR$37))</x:f>
      </x:c>
      <x:c r="J24" s="68" t="str">
        <x:f>IF(E24&lt;2,"",I24/SQRT(E24))</x:f>
      </x:c>
      <x:c r="K24" s="68" t="str">
        <x:f>IF(E24&lt;30,"",IF(B24="Primaria",2.54089809,2.04522964))</x:f>
      </x:c>
      <x:c r="L24" s="68" t="str">
        <x:f>IF(E24&lt;30,"",H24-K24*J24)</x:f>
      </x:c>
      <x:c r="M24" s="68" t="str">
        <x:f>IF(E24&lt;30,"",H24+K24*J24)</x:f>
      </x:c>
      <x:c r="N24" s="67" t="str">
        <x:f>IF(E24&lt;30,"Pendiente",IF(C24="Igual",IF(AND(L24&lt;=0,M24&gt;=0),"Compatible con igualdad","Diferencia detectada"),IF(C24="Mayor",IF(L24&gt;0,"Mejora concluyente",IF(M24&lt;0,"Empeora concluyentemente","Sin evidencia suficiente")),IF(M24&lt;0,"Mejora concluyente",IF(L24&gt;0,"Empeora concluyentemente","Sin evidencia suficiente")))))</x:f>
        <x:v>Pendiente</x:v>
      </x:c>
    </x:row>
    <x:row r="25">
      <x:c r="A25" s="70" t="str">
        <x:v>P90 de la cohorte pico</x:v>
      </x:c>
      <x:c r="B25" s="70" t="str">
        <x:v>Descriptiva</x:v>
      </x:c>
      <x:c r="C25" s="70" t="str">
        <x:v>Menor</x:v>
      </x:c>
      <x:c r="D25" s="70" t="str">
        <x:v>s</x:v>
      </x:c>
      <x:c r="E25" s="70" t="n">
        <x:f>COUNT(Corridas!$AU$8:$AU$37)</x:f>
        <x:v>0</x:v>
      </x:c>
      <x:c r="F25" s="71" t="str">
        <x:f>IF(E25=0,"",AVERAGE(Corridas!$AS$8:$AS$37))</x:f>
      </x:c>
      <x:c r="G25" s="71" t="str">
        <x:f>IF(E25=0,"",AVERAGE(Corridas!$AT$8:$AT$37))</x:f>
      </x:c>
      <x:c r="H25" s="71" t="str">
        <x:f>IF(E25=0,"",AVERAGE(Corridas!$AU$8:$AU$37))</x:f>
      </x:c>
      <x:c r="I25" s="71" t="str">
        <x:f>IF(E25&lt;2,"",STDEV.S(Corridas!$AU$8:$AU$37))</x:f>
      </x:c>
      <x:c r="J25" s="71" t="str">
        <x:f>IF(E25&lt;2,"",I25/SQRT(E25))</x:f>
      </x:c>
      <x:c r="K25" s="71" t="str">
        <x:f>IF(E25&lt;30,"",IF(B25="Primaria",2.54089809,2.04522964))</x:f>
      </x:c>
      <x:c r="L25" s="71" t="str">
        <x:f>IF(E25&lt;30,"",H25-K25*J25)</x:f>
      </x:c>
      <x:c r="M25" s="71" t="str">
        <x:f>IF(E25&lt;30,"",H25+K25*J25)</x:f>
      </x:c>
      <x:c r="N25" s="70" t="str">
        <x:f>IF(E25&lt;30,"Pendiente",IF(C25="Igual",IF(AND(L25&lt;=0,M25&gt;=0),"Compatible con igualdad","Diferencia detectada"),IF(C25="Mayor",IF(L25&gt;0,"Mejora concluyente",IF(M25&lt;0,"Empeora concluyentemente","Sin evidencia suficiente")),IF(M25&lt;0,"Mejora concluyente",IF(L25&gt;0,"Empeora concluyentemente","Sin evidencia suficiente")))))</x:f>
        <x:v>Pendiente</x:v>
      </x:c>
    </x:row>
  </x:sheetData>
  <x:conditionalFormatting sqref="B11:B25">
    <x:cfRule type="containsText" dxfId="0" priority="1" operator="containsText" text="Primaria"/>
  </x:conditionalFormatting>
  <x:conditionalFormatting sqref="N11:N25">
    <x:cfRule type="containsText" dxfId="1" priority="2" operator="containsText" text="Pendien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0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</x:cols>
  <x:sheetData>
    <x:row r="2">
      <x:c r="A2" s="12" t="str">
        <x:v>Corridas apareadas E0-E1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  <x:c r="AM2" s="7"/>
      <x:c r="AN2" s="7"/>
      <x:c r="AO2" s="7"/>
      <x:c r="AP2" s="7"/>
      <x:c r="AQ2" s="7"/>
      <x:c r="AR2" s="7"/>
      <x:c r="AS2" s="7"/>
      <x:c r="AT2" s="7"/>
      <x:c r="AU2" s="7"/>
    </x:row>
    <x:row r="3">
      <x:c r="A3" s="13" t="str">
        <x:v>Cargar únicamente resultados de producción calibrados. Las columnas amarillas son entradas; las grises se calculan.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  <x:c r="U3" s="7"/>
      <x:c r="V3" s="7"/>
      <x:c r="W3" s="7"/>
      <x:c r="X3" s="7"/>
      <x:c r="Y3" s="7"/>
      <x:c r="Z3" s="7"/>
      <x:c r="AA3" s="7"/>
      <x:c r="AB3" s="7"/>
      <x:c r="AC3" s="7"/>
      <x:c r="AD3" s="7"/>
      <x:c r="AE3" s="7"/>
      <x:c r="AF3" s="7"/>
      <x:c r="AG3" s="7"/>
      <x:c r="AH3" s="7"/>
      <x:c r="AI3" s="7"/>
      <x:c r="AJ3" s="7"/>
      <x:c r="AK3" s="7"/>
      <x:c r="AL3" s="7"/>
      <x:c r="AM3" s="7"/>
      <x:c r="AN3" s="7"/>
      <x:c r="AO3" s="7"/>
      <x:c r="AP3" s="7"/>
      <x:c r="AQ3" s="7"/>
      <x:c r="AR3" s="7"/>
      <x:c r="AS3" s="7"/>
      <x:c r="AT3" s="7"/>
      <x:c r="AU3" s="7"/>
    </x:row>
    <x:row r="4">
      <x:c r="A4" s="13" t="str">
        <x:v>La misma fila debe usar la misma semilla y las mismas entradas aleatorias en E0 y E1.</x:v>
      </x:c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  <x:c r="N4" s="7"/>
      <x:c r="O4" s="7"/>
      <x:c r="P4" s="7"/>
      <x:c r="Q4" s="7"/>
      <x:c r="R4" s="7"/>
      <x:c r="S4" s="7"/>
      <x:c r="T4" s="7"/>
      <x:c r="U4" s="7"/>
      <x:c r="V4" s="7"/>
      <x:c r="W4" s="7"/>
      <x:c r="X4" s="7"/>
      <x:c r="Y4" s="7"/>
      <x:c r="Z4" s="7"/>
      <x:c r="AA4" s="7"/>
      <x:c r="AB4" s="7"/>
      <x:c r="AC4" s="7"/>
      <x:c r="AD4" s="7"/>
      <x:c r="AE4" s="7"/>
      <x:c r="AF4" s="7"/>
      <x:c r="AG4" s="7"/>
      <x:c r="AH4" s="7"/>
      <x:c r="AI4" s="7"/>
      <x:c r="AJ4" s="7"/>
      <x:c r="AK4" s="7"/>
      <x:c r="AL4" s="7"/>
      <x:c r="AM4" s="7"/>
      <x:c r="AN4" s="7"/>
      <x:c r="AO4" s="7"/>
      <x:c r="AP4" s="7"/>
      <x:c r="AQ4" s="7"/>
      <x:c r="AR4" s="7"/>
      <x:c r="AS4" s="7"/>
      <x:c r="AT4" s="7"/>
      <x:c r="AU4" s="7"/>
    </x:row>
    <x:row r="5">
      <x:c r="A5" s="7"/>
      <x:c r="B5" s="7"/>
      <x:c r="C5" s="7"/>
      <x:c r="D5" s="7"/>
      <x:c r="E5" s="7"/>
      <x:c r="F5" s="7"/>
      <x:c r="G5" s="7"/>
      <x:c r="H5" s="7"/>
      <x:c r="I5" s="7"/>
      <x:c r="J5" s="7"/>
      <x:c r="K5" s="7"/>
      <x:c r="L5" s="7"/>
      <x:c r="M5" s="7"/>
      <x:c r="N5" s="7"/>
      <x:c r="O5" s="7"/>
      <x:c r="P5" s="7"/>
      <x:c r="Q5" s="7"/>
      <x:c r="R5" s="7"/>
      <x:c r="S5" s="7"/>
      <x:c r="T5" s="7"/>
      <x:c r="U5" s="7"/>
      <x:c r="V5" s="7"/>
      <x:c r="W5" s="7"/>
      <x:c r="X5" s="7"/>
      <x:c r="Y5" s="7"/>
      <x:c r="Z5" s="7"/>
      <x:c r="AA5" s="7"/>
      <x:c r="AB5" s="7"/>
      <x:c r="AC5" s="7"/>
      <x:c r="AD5" s="7"/>
      <x:c r="AE5" s="7"/>
      <x:c r="AF5" s="7"/>
      <x:c r="AG5" s="7"/>
      <x:c r="AH5" s="7"/>
      <x:c r="AI5" s="7"/>
      <x:c r="AJ5" s="7"/>
      <x:c r="AK5" s="7"/>
      <x:c r="AL5" s="7"/>
      <x:c r="AM5" s="7"/>
      <x:c r="AN5" s="7"/>
      <x:c r="AO5" s="7"/>
      <x:c r="AP5" s="7"/>
      <x:c r="AQ5" s="7"/>
      <x:c r="AR5" s="7"/>
      <x:c r="AS5" s="7"/>
      <x:c r="AT5" s="7"/>
      <x:c r="AU5" s="7"/>
    </x:row>
    <x:row r="6">
      <x:c r="A6" s="7"/>
      <x:c r="B6" s="7"/>
      <x:c r="C6" s="7"/>
      <x:c r="D6" s="7"/>
      <x:c r="E6" s="7"/>
      <x:c r="F6" s="7"/>
      <x:c r="G6" s="7"/>
      <x:c r="H6" s="7"/>
      <x:c r="I6" s="7"/>
      <x:c r="J6" s="7"/>
      <x:c r="K6" s="7"/>
      <x:c r="L6" s="7"/>
      <x:c r="M6" s="7"/>
      <x:c r="N6" s="7"/>
      <x:c r="O6" s="7"/>
      <x:c r="P6" s="7"/>
      <x:c r="Q6" s="7"/>
      <x:c r="R6" s="7"/>
      <x:c r="S6" s="7"/>
      <x:c r="T6" s="7"/>
      <x:c r="U6" s="7"/>
      <x:c r="V6" s="7"/>
      <x:c r="W6" s="7"/>
      <x:c r="X6" s="7"/>
      <x:c r="Y6" s="7"/>
      <x:c r="Z6" s="7"/>
      <x:c r="AA6" s="7"/>
      <x:c r="AB6" s="7"/>
      <x:c r="AC6" s="7"/>
      <x:c r="AD6" s="7"/>
      <x:c r="AE6" s="7"/>
      <x:c r="AF6" s="7"/>
      <x:c r="AG6" s="7"/>
      <x:c r="AH6" s="7"/>
      <x:c r="AI6" s="7"/>
      <x:c r="AJ6" s="7"/>
      <x:c r="AK6" s="7"/>
      <x:c r="AL6" s="7"/>
      <x:c r="AM6" s="7"/>
      <x:c r="AN6" s="7"/>
      <x:c r="AO6" s="7"/>
      <x:c r="AP6" s="7"/>
      <x:c r="AQ6" s="7"/>
      <x:c r="AR6" s="7"/>
      <x:c r="AS6" s="7"/>
      <x:c r="AT6" s="7"/>
      <x:c r="AU6" s="7"/>
    </x:row>
    <x:row r="7" ht="52" customHeight="1">
      <x:c r="A7" s="25" t="str">
        <x:v>Réplica</x:v>
      </x:c>
      <x:c r="B7" s="26" t="str">
        <x:v>Semilla</x:v>
      </x:c>
      <x:c r="C7" s="26" t="str">
        <x:v>E0 Pasajeros generados</x:v>
      </x:c>
      <x:c r="D7" s="26" t="str">
        <x:v>E1 Pasajeros generados</x:v>
      </x:c>
      <x:c r="E7" s="26" t="str">
        <x:v>Diferencia Pasajeros generados</x:v>
      </x:c>
      <x:c r="F7" s="26" t="str">
        <x:v>E0 Pasajeros desviados</x:v>
      </x:c>
      <x:c r="G7" s="26" t="str">
        <x:v>E1 Pasajeros desviados</x:v>
      </x:c>
      <x:c r="H7" s="26" t="str">
        <x:v>Diferencia Pasajeros desviados</x:v>
      </x:c>
      <x:c r="I7" s="26" t="str">
        <x:v>E0 Procesados a las 09:30</x:v>
      </x:c>
      <x:c r="J7" s="26" t="str">
        <x:v>E1 Procesados a las 09:30</x:v>
      </x:c>
      <x:c r="K7" s="26" t="str">
        <x:v>Diferencia Procesados a las 09:30</x:v>
      </x:c>
      <x:c r="L7" s="26" t="str">
        <x:v>E0 Procesados con drenaje</x:v>
      </x:c>
      <x:c r="M7" s="26" t="str">
        <x:v>E1 Procesados con drenaje</x:v>
      </x:c>
      <x:c r="N7" s="26" t="str">
        <x:v>Diferencia Procesados con drenaje</x:v>
      </x:c>
      <x:c r="O7" s="26" t="str">
        <x:v>E0 Espera media</x:v>
      </x:c>
      <x:c r="P7" s="26" t="str">
        <x:v>E1 Espera media</x:v>
      </x:c>
      <x:c r="Q7" s="26" t="str">
        <x:v>Diferencia Espera media</x:v>
      </x:c>
      <x:c r="R7" s="26" t="str">
        <x:v>E0 P90 de espera</x:v>
      </x:c>
      <x:c r="S7" s="26" t="str">
        <x:v>E1 P90 de espera</x:v>
      </x:c>
      <x:c r="T7" s="26" t="str">
        <x:v>Diferencia P90 de espera</x:v>
      </x:c>
      <x:c r="U7" s="26" t="str">
        <x:v>E0 Proporción con espera mayor a 30 s</x:v>
      </x:c>
      <x:c r="V7" s="26" t="str">
        <x:v>E1 Proporción con espera mayor a 30 s</x:v>
      </x:c>
      <x:c r="W7" s="26" t="str">
        <x:v>Diferencia Proporción con espera mayor a 30 s</x:v>
      </x:c>
      <x:c r="X7" s="26" t="str">
        <x:v>E0 Lq</x:v>
      </x:c>
      <x:c r="Y7" s="26" t="str">
        <x:v>E1 Lq</x:v>
      </x:c>
      <x:c r="Z7" s="26" t="str">
        <x:v>Diferencia Lq</x:v>
      </x:c>
      <x:c r="AA7" s="26" t="str">
        <x:v>E0 Cola máxima</x:v>
      </x:c>
      <x:c r="AB7" s="26" t="str">
        <x:v>E1 Cola máxima</x:v>
      </x:c>
      <x:c r="AC7" s="26" t="str">
        <x:v>Diferencia Cola máxima</x:v>
      </x:c>
      <x:c r="AD7" s="26" t="str">
        <x:v>E0 Tiempo de disipación</x:v>
      </x:c>
      <x:c r="AE7" s="26" t="str">
        <x:v>E1 Tiempo de disipación</x:v>
      </x:c>
      <x:c r="AF7" s="26" t="str">
        <x:v>Diferencia Tiempo de disipación</x:v>
      </x:c>
      <x:c r="AG7" s="26" t="str">
        <x:v>E0 Utilización media</x:v>
      </x:c>
      <x:c r="AH7" s="26" t="str">
        <x:v>E1 Utilización media</x:v>
      </x:c>
      <x:c r="AI7" s="26" t="str">
        <x:v>Diferencia Utilización media</x:v>
      </x:c>
      <x:c r="AJ7" s="26" t="str">
        <x:v>E0 Dispersión de utilización</x:v>
      </x:c>
      <x:c r="AK7" s="26" t="str">
        <x:v>E1 Dispersión de utilización</x:v>
      </x:c>
      <x:c r="AL7" s="26" t="str">
        <x:v>Diferencia Dispersión de utilización</x:v>
      </x:c>
      <x:c r="AM7" s="26" t="str">
        <x:v>E0 Pasajeros de la cohorte pico</x:v>
      </x:c>
      <x:c r="AN7" s="26" t="str">
        <x:v>E1 Pasajeros de la cohorte pico</x:v>
      </x:c>
      <x:c r="AO7" s="26" t="str">
        <x:v>Diferencia Pasajeros de la cohorte pico</x:v>
      </x:c>
      <x:c r="AP7" s="26" t="str">
        <x:v>E0 Espera media de la cohorte pico</x:v>
      </x:c>
      <x:c r="AQ7" s="26" t="str">
        <x:v>E1 Espera media de la cohorte pico</x:v>
      </x:c>
      <x:c r="AR7" s="26" t="str">
        <x:v>Diferencia Espera media de la cohorte pico</x:v>
      </x:c>
      <x:c r="AS7" s="26" t="str">
        <x:v>E0 P90 de la cohorte pico</x:v>
      </x:c>
      <x:c r="AT7" s="26" t="str">
        <x:v>E1 P90 de la cohorte pico</x:v>
      </x:c>
      <x:c r="AU7" s="27" t="str">
        <x:v>Diferencia P90 de la cohorte pico</x:v>
      </x:c>
    </x:row>
    <x:row r="8">
      <x:c r="A8" s="35" t="n">
        <x:v>1</x:v>
      </x:c>
      <x:c r="B8" s="35" t="n">
        <x:v>20260923</x:v>
      </x:c>
      <x:c r="C8" s="36"/>
      <x:c r="D8" s="36"/>
      <x:c r="E8" s="37" t="str">
        <x:f>IF(OR(C8="",D8=""),"",D8-C8)</x:f>
      </x:c>
      <x:c r="F8" s="36"/>
      <x:c r="G8" s="36"/>
      <x:c r="H8" s="37" t="str">
        <x:f>IF(OR(F8="",G8=""),"",G8-F8)</x:f>
      </x:c>
      <x:c r="I8" s="36"/>
      <x:c r="J8" s="36"/>
      <x:c r="K8" s="37" t="str">
        <x:f>IF(OR(I8="",J8=""),"",J8-I8)</x:f>
      </x:c>
      <x:c r="L8" s="36"/>
      <x:c r="M8" s="36"/>
      <x:c r="N8" s="37" t="str">
        <x:f>IF(OR(L8="",M8=""),"",M8-L8)</x:f>
      </x:c>
      <x:c r="O8" s="36"/>
      <x:c r="P8" s="36"/>
      <x:c r="Q8" s="37" t="str">
        <x:f>IF(OR(O8="",P8=""),"",P8-O8)</x:f>
      </x:c>
      <x:c r="R8" s="36"/>
      <x:c r="S8" s="36"/>
      <x:c r="T8" s="37" t="str">
        <x:f>IF(OR(R8="",S8=""),"",S8-R8)</x:f>
      </x:c>
      <x:c r="U8" s="38"/>
      <x:c r="V8" s="38"/>
      <x:c r="W8" s="39" t="str">
        <x:f>IF(OR(U8="",V8=""),"",V8-U8)</x:f>
      </x:c>
      <x:c r="X8" s="36"/>
      <x:c r="Y8" s="36"/>
      <x:c r="Z8" s="37" t="str">
        <x:f>IF(OR(X8="",Y8=""),"",Y8-X8)</x:f>
      </x:c>
      <x:c r="AA8" s="36"/>
      <x:c r="AB8" s="36"/>
      <x:c r="AC8" s="37" t="str">
        <x:f>IF(OR(AA8="",AB8=""),"",AB8-AA8)</x:f>
      </x:c>
      <x:c r="AD8" s="36"/>
      <x:c r="AE8" s="36"/>
      <x:c r="AF8" s="37" t="str">
        <x:f>IF(OR(AD8="",AE8=""),"",AE8-AD8)</x:f>
      </x:c>
      <x:c r="AG8" s="38"/>
      <x:c r="AH8" s="38"/>
      <x:c r="AI8" s="39" t="str">
        <x:f>IF(OR(AG8="",AH8=""),"",AH8-AG8)</x:f>
      </x:c>
      <x:c r="AJ8" s="36"/>
      <x:c r="AK8" s="36"/>
      <x:c r="AL8" s="37" t="str">
        <x:f>IF(OR(AJ8="",AK8=""),"",AK8-AJ8)</x:f>
      </x:c>
      <x:c r="AM8" s="36"/>
      <x:c r="AN8" s="36"/>
      <x:c r="AO8" s="37" t="str">
        <x:f>IF(OR(AM8="",AN8=""),"",AN8-AM8)</x:f>
      </x:c>
      <x:c r="AP8" s="36"/>
      <x:c r="AQ8" s="36"/>
      <x:c r="AR8" s="37" t="str">
        <x:f>IF(OR(AP8="",AQ8=""),"",AQ8-AP8)</x:f>
      </x:c>
      <x:c r="AS8" s="36"/>
      <x:c r="AT8" s="36"/>
      <x:c r="AU8" s="37" t="str">
        <x:f>IF(OR(AS8="",AT8=""),"",AT8-AS8)</x:f>
      </x:c>
    </x:row>
    <x:row r="9">
      <x:c r="A9" s="40" t="n">
        <x:v>2</x:v>
      </x:c>
      <x:c r="B9" s="40" t="n">
        <x:v>20260924</x:v>
      </x:c>
      <x:c r="C9" s="41"/>
      <x:c r="D9" s="41"/>
      <x:c r="E9" s="42" t="str">
        <x:f>IF(OR(C9="",D9=""),"",D9-C9)</x:f>
      </x:c>
      <x:c r="F9" s="41"/>
      <x:c r="G9" s="41"/>
      <x:c r="H9" s="42" t="str">
        <x:f>IF(OR(F9="",G9=""),"",G9-F9)</x:f>
      </x:c>
      <x:c r="I9" s="41"/>
      <x:c r="J9" s="41"/>
      <x:c r="K9" s="42" t="str">
        <x:f>IF(OR(I9="",J9=""),"",J9-I9)</x:f>
      </x:c>
      <x:c r="L9" s="41"/>
      <x:c r="M9" s="41"/>
      <x:c r="N9" s="42" t="str">
        <x:f>IF(OR(L9="",M9=""),"",M9-L9)</x:f>
      </x:c>
      <x:c r="O9" s="41"/>
      <x:c r="P9" s="41"/>
      <x:c r="Q9" s="42" t="str">
        <x:f>IF(OR(O9="",P9=""),"",P9-O9)</x:f>
      </x:c>
      <x:c r="R9" s="41"/>
      <x:c r="S9" s="41"/>
      <x:c r="T9" s="42" t="str">
        <x:f>IF(OR(R9="",S9=""),"",S9-R9)</x:f>
      </x:c>
      <x:c r="U9" s="43"/>
      <x:c r="V9" s="43"/>
      <x:c r="W9" s="44" t="str">
        <x:f>IF(OR(U9="",V9=""),"",V9-U9)</x:f>
      </x:c>
      <x:c r="X9" s="41"/>
      <x:c r="Y9" s="41"/>
      <x:c r="Z9" s="42" t="str">
        <x:f>IF(OR(X9="",Y9=""),"",Y9-X9)</x:f>
      </x:c>
      <x:c r="AA9" s="41"/>
      <x:c r="AB9" s="41"/>
      <x:c r="AC9" s="42" t="str">
        <x:f>IF(OR(AA9="",AB9=""),"",AB9-AA9)</x:f>
      </x:c>
      <x:c r="AD9" s="41"/>
      <x:c r="AE9" s="41"/>
      <x:c r="AF9" s="42" t="str">
        <x:f>IF(OR(AD9="",AE9=""),"",AE9-AD9)</x:f>
      </x:c>
      <x:c r="AG9" s="43"/>
      <x:c r="AH9" s="43"/>
      <x:c r="AI9" s="44" t="str">
        <x:f>IF(OR(AG9="",AH9=""),"",AH9-AG9)</x:f>
      </x:c>
      <x:c r="AJ9" s="41"/>
      <x:c r="AK9" s="41"/>
      <x:c r="AL9" s="42" t="str">
        <x:f>IF(OR(AJ9="",AK9=""),"",AK9-AJ9)</x:f>
      </x:c>
      <x:c r="AM9" s="41"/>
      <x:c r="AN9" s="41"/>
      <x:c r="AO9" s="42" t="str">
        <x:f>IF(OR(AM9="",AN9=""),"",AN9-AM9)</x:f>
      </x:c>
      <x:c r="AP9" s="41"/>
      <x:c r="AQ9" s="41"/>
      <x:c r="AR9" s="42" t="str">
        <x:f>IF(OR(AP9="",AQ9=""),"",AQ9-AP9)</x:f>
      </x:c>
      <x:c r="AS9" s="41"/>
      <x:c r="AT9" s="41"/>
      <x:c r="AU9" s="42" t="str">
        <x:f>IF(OR(AS9="",AT9=""),"",AT9-AS9)</x:f>
      </x:c>
    </x:row>
    <x:row r="10">
      <x:c r="A10" s="40" t="n">
        <x:v>3</x:v>
      </x:c>
      <x:c r="B10" s="40" t="n">
        <x:v>20260925</x:v>
      </x:c>
      <x:c r="C10" s="41"/>
      <x:c r="D10" s="41"/>
      <x:c r="E10" s="42" t="str">
        <x:f>IF(OR(C10="",D10=""),"",D10-C10)</x:f>
      </x:c>
      <x:c r="F10" s="41"/>
      <x:c r="G10" s="41"/>
      <x:c r="H10" s="42" t="str">
        <x:f>IF(OR(F10="",G10=""),"",G10-F10)</x:f>
      </x:c>
      <x:c r="I10" s="41"/>
      <x:c r="J10" s="41"/>
      <x:c r="K10" s="42" t="str">
        <x:f>IF(OR(I10="",J10=""),"",J10-I10)</x:f>
      </x:c>
      <x:c r="L10" s="41"/>
      <x:c r="M10" s="41"/>
      <x:c r="N10" s="42" t="str">
        <x:f>IF(OR(L10="",M10=""),"",M10-L10)</x:f>
      </x:c>
      <x:c r="O10" s="41"/>
      <x:c r="P10" s="41"/>
      <x:c r="Q10" s="42" t="str">
        <x:f>IF(OR(O10="",P10=""),"",P10-O10)</x:f>
      </x:c>
      <x:c r="R10" s="41"/>
      <x:c r="S10" s="41"/>
      <x:c r="T10" s="42" t="str">
        <x:f>IF(OR(R10="",S10=""),"",S10-R10)</x:f>
      </x:c>
      <x:c r="U10" s="43"/>
      <x:c r="V10" s="43"/>
      <x:c r="W10" s="44" t="str">
        <x:f>IF(OR(U10="",V10=""),"",V10-U10)</x:f>
      </x:c>
      <x:c r="X10" s="41"/>
      <x:c r="Y10" s="41"/>
      <x:c r="Z10" s="42" t="str">
        <x:f>IF(OR(X10="",Y10=""),"",Y10-X10)</x:f>
      </x:c>
      <x:c r="AA10" s="41"/>
      <x:c r="AB10" s="41"/>
      <x:c r="AC10" s="42" t="str">
        <x:f>IF(OR(AA10="",AB10=""),"",AB10-AA10)</x:f>
      </x:c>
      <x:c r="AD10" s="41"/>
      <x:c r="AE10" s="41"/>
      <x:c r="AF10" s="42" t="str">
        <x:f>IF(OR(AD10="",AE10=""),"",AE10-AD10)</x:f>
      </x:c>
      <x:c r="AG10" s="43"/>
      <x:c r="AH10" s="43"/>
      <x:c r="AI10" s="44" t="str">
        <x:f>IF(OR(AG10="",AH10=""),"",AH10-AG10)</x:f>
      </x:c>
      <x:c r="AJ10" s="41"/>
      <x:c r="AK10" s="41"/>
      <x:c r="AL10" s="42" t="str">
        <x:f>IF(OR(AJ10="",AK10=""),"",AK10-AJ10)</x:f>
      </x:c>
      <x:c r="AM10" s="41"/>
      <x:c r="AN10" s="41"/>
      <x:c r="AO10" s="42" t="str">
        <x:f>IF(OR(AM10="",AN10=""),"",AN10-AM10)</x:f>
      </x:c>
      <x:c r="AP10" s="41"/>
      <x:c r="AQ10" s="41"/>
      <x:c r="AR10" s="42" t="str">
        <x:f>IF(OR(AP10="",AQ10=""),"",AQ10-AP10)</x:f>
      </x:c>
      <x:c r="AS10" s="41"/>
      <x:c r="AT10" s="41"/>
      <x:c r="AU10" s="42" t="str">
        <x:f>IF(OR(AS10="",AT10=""),"",AT10-AS10)</x:f>
      </x:c>
    </x:row>
    <x:row r="11">
      <x:c r="A11" s="40" t="n">
        <x:v>4</x:v>
      </x:c>
      <x:c r="B11" s="40" t="n">
        <x:v>20260926</x:v>
      </x:c>
      <x:c r="C11" s="41"/>
      <x:c r="D11" s="41"/>
      <x:c r="E11" s="42" t="str">
        <x:f>IF(OR(C11="",D11=""),"",D11-C11)</x:f>
      </x:c>
      <x:c r="F11" s="41"/>
      <x:c r="G11" s="41"/>
      <x:c r="H11" s="42" t="str">
        <x:f>IF(OR(F11="",G11=""),"",G11-F11)</x:f>
      </x:c>
      <x:c r="I11" s="41"/>
      <x:c r="J11" s="41"/>
      <x:c r="K11" s="42" t="str">
        <x:f>IF(OR(I11="",J11=""),"",J11-I11)</x:f>
      </x:c>
      <x:c r="L11" s="41"/>
      <x:c r="M11" s="41"/>
      <x:c r="N11" s="42" t="str">
        <x:f>IF(OR(L11="",M11=""),"",M11-L11)</x:f>
      </x:c>
      <x:c r="O11" s="41"/>
      <x:c r="P11" s="41"/>
      <x:c r="Q11" s="42" t="str">
        <x:f>IF(OR(O11="",P11=""),"",P11-O11)</x:f>
      </x:c>
      <x:c r="R11" s="41"/>
      <x:c r="S11" s="41"/>
      <x:c r="T11" s="42" t="str">
        <x:f>IF(OR(R11="",S11=""),"",S11-R11)</x:f>
      </x:c>
      <x:c r="U11" s="43"/>
      <x:c r="V11" s="43"/>
      <x:c r="W11" s="44" t="str">
        <x:f>IF(OR(U11="",V11=""),"",V11-U11)</x:f>
      </x:c>
      <x:c r="X11" s="41"/>
      <x:c r="Y11" s="41"/>
      <x:c r="Z11" s="42" t="str">
        <x:f>IF(OR(X11="",Y11=""),"",Y11-X11)</x:f>
      </x:c>
      <x:c r="AA11" s="41"/>
      <x:c r="AB11" s="41"/>
      <x:c r="AC11" s="42" t="str">
        <x:f>IF(OR(AA11="",AB11=""),"",AB11-AA11)</x:f>
      </x:c>
      <x:c r="AD11" s="41"/>
      <x:c r="AE11" s="41"/>
      <x:c r="AF11" s="42" t="str">
        <x:f>IF(OR(AD11="",AE11=""),"",AE11-AD11)</x:f>
      </x:c>
      <x:c r="AG11" s="43"/>
      <x:c r="AH11" s="43"/>
      <x:c r="AI11" s="44" t="str">
        <x:f>IF(OR(AG11="",AH11=""),"",AH11-AG11)</x:f>
      </x:c>
      <x:c r="AJ11" s="41"/>
      <x:c r="AK11" s="41"/>
      <x:c r="AL11" s="42" t="str">
        <x:f>IF(OR(AJ11="",AK11=""),"",AK11-AJ11)</x:f>
      </x:c>
      <x:c r="AM11" s="41"/>
      <x:c r="AN11" s="41"/>
      <x:c r="AO11" s="42" t="str">
        <x:f>IF(OR(AM11="",AN11=""),"",AN11-AM11)</x:f>
      </x:c>
      <x:c r="AP11" s="41"/>
      <x:c r="AQ11" s="41"/>
      <x:c r="AR11" s="42" t="str">
        <x:f>IF(OR(AP11="",AQ11=""),"",AQ11-AP11)</x:f>
      </x:c>
      <x:c r="AS11" s="41"/>
      <x:c r="AT11" s="41"/>
      <x:c r="AU11" s="42" t="str">
        <x:f>IF(OR(AS11="",AT11=""),"",AT11-AS11)</x:f>
      </x:c>
    </x:row>
    <x:row r="12">
      <x:c r="A12" s="40" t="n">
        <x:v>5</x:v>
      </x:c>
      <x:c r="B12" s="40" t="n">
        <x:v>20260927</x:v>
      </x:c>
      <x:c r="C12" s="41"/>
      <x:c r="D12" s="41"/>
      <x:c r="E12" s="42" t="str">
        <x:f>IF(OR(C12="",D12=""),"",D12-C12)</x:f>
      </x:c>
      <x:c r="F12" s="41"/>
      <x:c r="G12" s="41"/>
      <x:c r="H12" s="42" t="str">
        <x:f>IF(OR(F12="",G12=""),"",G12-F12)</x:f>
      </x:c>
      <x:c r="I12" s="41"/>
      <x:c r="J12" s="41"/>
      <x:c r="K12" s="42" t="str">
        <x:f>IF(OR(I12="",J12=""),"",J12-I12)</x:f>
      </x:c>
      <x:c r="L12" s="41"/>
      <x:c r="M12" s="41"/>
      <x:c r="N12" s="42" t="str">
        <x:f>IF(OR(L12="",M12=""),"",M12-L12)</x:f>
      </x:c>
      <x:c r="O12" s="41"/>
      <x:c r="P12" s="41"/>
      <x:c r="Q12" s="42" t="str">
        <x:f>IF(OR(O12="",P12=""),"",P12-O12)</x:f>
      </x:c>
      <x:c r="R12" s="41"/>
      <x:c r="S12" s="41"/>
      <x:c r="T12" s="42" t="str">
        <x:f>IF(OR(R12="",S12=""),"",S12-R12)</x:f>
      </x:c>
      <x:c r="U12" s="43"/>
      <x:c r="V12" s="43"/>
      <x:c r="W12" s="44" t="str">
        <x:f>IF(OR(U12="",V12=""),"",V12-U12)</x:f>
      </x:c>
      <x:c r="X12" s="41"/>
      <x:c r="Y12" s="41"/>
      <x:c r="Z12" s="42" t="str">
        <x:f>IF(OR(X12="",Y12=""),"",Y12-X12)</x:f>
      </x:c>
      <x:c r="AA12" s="41"/>
      <x:c r="AB12" s="41"/>
      <x:c r="AC12" s="42" t="str">
        <x:f>IF(OR(AA12="",AB12=""),"",AB12-AA12)</x:f>
      </x:c>
      <x:c r="AD12" s="41"/>
      <x:c r="AE12" s="41"/>
      <x:c r="AF12" s="42" t="str">
        <x:f>IF(OR(AD12="",AE12=""),"",AE12-AD12)</x:f>
      </x:c>
      <x:c r="AG12" s="43"/>
      <x:c r="AH12" s="43"/>
      <x:c r="AI12" s="44" t="str">
        <x:f>IF(OR(AG12="",AH12=""),"",AH12-AG12)</x:f>
      </x:c>
      <x:c r="AJ12" s="41"/>
      <x:c r="AK12" s="41"/>
      <x:c r="AL12" s="42" t="str">
        <x:f>IF(OR(AJ12="",AK12=""),"",AK12-AJ12)</x:f>
      </x:c>
      <x:c r="AM12" s="41"/>
      <x:c r="AN12" s="41"/>
      <x:c r="AO12" s="42" t="str">
        <x:f>IF(OR(AM12="",AN12=""),"",AN12-AM12)</x:f>
      </x:c>
      <x:c r="AP12" s="41"/>
      <x:c r="AQ12" s="41"/>
      <x:c r="AR12" s="42" t="str">
        <x:f>IF(OR(AP12="",AQ12=""),"",AQ12-AP12)</x:f>
      </x:c>
      <x:c r="AS12" s="41"/>
      <x:c r="AT12" s="41"/>
      <x:c r="AU12" s="42" t="str">
        <x:f>IF(OR(AS12="",AT12=""),"",AT12-AS12)</x:f>
      </x:c>
    </x:row>
    <x:row r="13">
      <x:c r="A13" s="40" t="n">
        <x:v>6</x:v>
      </x:c>
      <x:c r="B13" s="40" t="n">
        <x:v>20260928</x:v>
      </x:c>
      <x:c r="C13" s="41"/>
      <x:c r="D13" s="41"/>
      <x:c r="E13" s="42" t="str">
        <x:f>IF(OR(C13="",D13=""),"",D13-C13)</x:f>
      </x:c>
      <x:c r="F13" s="41"/>
      <x:c r="G13" s="41"/>
      <x:c r="H13" s="42" t="str">
        <x:f>IF(OR(F13="",G13=""),"",G13-F13)</x:f>
      </x:c>
      <x:c r="I13" s="41"/>
      <x:c r="J13" s="41"/>
      <x:c r="K13" s="42" t="str">
        <x:f>IF(OR(I13="",J13=""),"",J13-I13)</x:f>
      </x:c>
      <x:c r="L13" s="41"/>
      <x:c r="M13" s="41"/>
      <x:c r="N13" s="42" t="str">
        <x:f>IF(OR(L13="",M13=""),"",M13-L13)</x:f>
      </x:c>
      <x:c r="O13" s="41"/>
      <x:c r="P13" s="41"/>
      <x:c r="Q13" s="42" t="str">
        <x:f>IF(OR(O13="",P13=""),"",P13-O13)</x:f>
      </x:c>
      <x:c r="R13" s="41"/>
      <x:c r="S13" s="41"/>
      <x:c r="T13" s="42" t="str">
        <x:f>IF(OR(R13="",S13=""),"",S13-R13)</x:f>
      </x:c>
      <x:c r="U13" s="43"/>
      <x:c r="V13" s="43"/>
      <x:c r="W13" s="44" t="str">
        <x:f>IF(OR(U13="",V13=""),"",V13-U13)</x:f>
      </x:c>
      <x:c r="X13" s="41"/>
      <x:c r="Y13" s="41"/>
      <x:c r="Z13" s="42" t="str">
        <x:f>IF(OR(X13="",Y13=""),"",Y13-X13)</x:f>
      </x:c>
      <x:c r="AA13" s="41"/>
      <x:c r="AB13" s="41"/>
      <x:c r="AC13" s="42" t="str">
        <x:f>IF(OR(AA13="",AB13=""),"",AB13-AA13)</x:f>
      </x:c>
      <x:c r="AD13" s="41"/>
      <x:c r="AE13" s="41"/>
      <x:c r="AF13" s="42" t="str">
        <x:f>IF(OR(AD13="",AE13=""),"",AE13-AD13)</x:f>
      </x:c>
      <x:c r="AG13" s="43"/>
      <x:c r="AH13" s="43"/>
      <x:c r="AI13" s="44" t="str">
        <x:f>IF(OR(AG13="",AH13=""),"",AH13-AG13)</x:f>
      </x:c>
      <x:c r="AJ13" s="41"/>
      <x:c r="AK13" s="41"/>
      <x:c r="AL13" s="42" t="str">
        <x:f>IF(OR(AJ13="",AK13=""),"",AK13-AJ13)</x:f>
      </x:c>
      <x:c r="AM13" s="41"/>
      <x:c r="AN13" s="41"/>
      <x:c r="AO13" s="42" t="str">
        <x:f>IF(OR(AM13="",AN13=""),"",AN13-AM13)</x:f>
      </x:c>
      <x:c r="AP13" s="41"/>
      <x:c r="AQ13" s="41"/>
      <x:c r="AR13" s="42" t="str">
        <x:f>IF(OR(AP13="",AQ13=""),"",AQ13-AP13)</x:f>
      </x:c>
      <x:c r="AS13" s="41"/>
      <x:c r="AT13" s="41"/>
      <x:c r="AU13" s="42" t="str">
        <x:f>IF(OR(AS13="",AT13=""),"",AT13-AS13)</x:f>
      </x:c>
    </x:row>
    <x:row r="14">
      <x:c r="A14" s="40" t="n">
        <x:v>7</x:v>
      </x:c>
      <x:c r="B14" s="40" t="n">
        <x:v>20260929</x:v>
      </x:c>
      <x:c r="C14" s="41"/>
      <x:c r="D14" s="41"/>
      <x:c r="E14" s="42" t="str">
        <x:f>IF(OR(C14="",D14=""),"",D14-C14)</x:f>
      </x:c>
      <x:c r="F14" s="41"/>
      <x:c r="G14" s="41"/>
      <x:c r="H14" s="42" t="str">
        <x:f>IF(OR(F14="",G14=""),"",G14-F14)</x:f>
      </x:c>
      <x:c r="I14" s="41"/>
      <x:c r="J14" s="41"/>
      <x:c r="K14" s="42" t="str">
        <x:f>IF(OR(I14="",J14=""),"",J14-I14)</x:f>
      </x:c>
      <x:c r="L14" s="41"/>
      <x:c r="M14" s="41"/>
      <x:c r="N14" s="42" t="str">
        <x:f>IF(OR(L14="",M14=""),"",M14-L14)</x:f>
      </x:c>
      <x:c r="O14" s="41"/>
      <x:c r="P14" s="41"/>
      <x:c r="Q14" s="42" t="str">
        <x:f>IF(OR(O14="",P14=""),"",P14-O14)</x:f>
      </x:c>
      <x:c r="R14" s="41"/>
      <x:c r="S14" s="41"/>
      <x:c r="T14" s="42" t="str">
        <x:f>IF(OR(R14="",S14=""),"",S14-R14)</x:f>
      </x:c>
      <x:c r="U14" s="43"/>
      <x:c r="V14" s="43"/>
      <x:c r="W14" s="44" t="str">
        <x:f>IF(OR(U14="",V14=""),"",V14-U14)</x:f>
      </x:c>
      <x:c r="X14" s="41"/>
      <x:c r="Y14" s="41"/>
      <x:c r="Z14" s="42" t="str">
        <x:f>IF(OR(X14="",Y14=""),"",Y14-X14)</x:f>
      </x:c>
      <x:c r="AA14" s="41"/>
      <x:c r="AB14" s="41"/>
      <x:c r="AC14" s="42" t="str">
        <x:f>IF(OR(AA14="",AB14=""),"",AB14-AA14)</x:f>
      </x:c>
      <x:c r="AD14" s="41"/>
      <x:c r="AE14" s="41"/>
      <x:c r="AF14" s="42" t="str">
        <x:f>IF(OR(AD14="",AE14=""),"",AE14-AD14)</x:f>
      </x:c>
      <x:c r="AG14" s="43"/>
      <x:c r="AH14" s="43"/>
      <x:c r="AI14" s="44" t="str">
        <x:f>IF(OR(AG14="",AH14=""),"",AH14-AG14)</x:f>
      </x:c>
      <x:c r="AJ14" s="41"/>
      <x:c r="AK14" s="41"/>
      <x:c r="AL14" s="42" t="str">
        <x:f>IF(OR(AJ14="",AK14=""),"",AK14-AJ14)</x:f>
      </x:c>
      <x:c r="AM14" s="41"/>
      <x:c r="AN14" s="41"/>
      <x:c r="AO14" s="42" t="str">
        <x:f>IF(OR(AM14="",AN14=""),"",AN14-AM14)</x:f>
      </x:c>
      <x:c r="AP14" s="41"/>
      <x:c r="AQ14" s="41"/>
      <x:c r="AR14" s="42" t="str">
        <x:f>IF(OR(AP14="",AQ14=""),"",AQ14-AP14)</x:f>
      </x:c>
      <x:c r="AS14" s="41"/>
      <x:c r="AT14" s="41"/>
      <x:c r="AU14" s="42" t="str">
        <x:f>IF(OR(AS14="",AT14=""),"",AT14-AS14)</x:f>
      </x:c>
    </x:row>
    <x:row r="15">
      <x:c r="A15" s="40" t="n">
        <x:v>8</x:v>
      </x:c>
      <x:c r="B15" s="40" t="n">
        <x:v>20260930</x:v>
      </x:c>
      <x:c r="C15" s="41"/>
      <x:c r="D15" s="41"/>
      <x:c r="E15" s="42" t="str">
        <x:f>IF(OR(C15="",D15=""),"",D15-C15)</x:f>
      </x:c>
      <x:c r="F15" s="41"/>
      <x:c r="G15" s="41"/>
      <x:c r="H15" s="42" t="str">
        <x:f>IF(OR(F15="",G15=""),"",G15-F15)</x:f>
      </x:c>
      <x:c r="I15" s="41"/>
      <x:c r="J15" s="41"/>
      <x:c r="K15" s="42" t="str">
        <x:f>IF(OR(I15="",J15=""),"",J15-I15)</x:f>
      </x:c>
      <x:c r="L15" s="41"/>
      <x:c r="M15" s="41"/>
      <x:c r="N15" s="42" t="str">
        <x:f>IF(OR(L15="",M15=""),"",M15-L15)</x:f>
      </x:c>
      <x:c r="O15" s="41"/>
      <x:c r="P15" s="41"/>
      <x:c r="Q15" s="42" t="str">
        <x:f>IF(OR(O15="",P15=""),"",P15-O15)</x:f>
      </x:c>
      <x:c r="R15" s="41"/>
      <x:c r="S15" s="41"/>
      <x:c r="T15" s="42" t="str">
        <x:f>IF(OR(R15="",S15=""),"",S15-R15)</x:f>
      </x:c>
      <x:c r="U15" s="43"/>
      <x:c r="V15" s="43"/>
      <x:c r="W15" s="44" t="str">
        <x:f>IF(OR(U15="",V15=""),"",V15-U15)</x:f>
      </x:c>
      <x:c r="X15" s="41"/>
      <x:c r="Y15" s="41"/>
      <x:c r="Z15" s="42" t="str">
        <x:f>IF(OR(X15="",Y15=""),"",Y15-X15)</x:f>
      </x:c>
      <x:c r="AA15" s="41"/>
      <x:c r="AB15" s="41"/>
      <x:c r="AC15" s="42" t="str">
        <x:f>IF(OR(AA15="",AB15=""),"",AB15-AA15)</x:f>
      </x:c>
      <x:c r="AD15" s="41"/>
      <x:c r="AE15" s="41"/>
      <x:c r="AF15" s="42" t="str">
        <x:f>IF(OR(AD15="",AE15=""),"",AE15-AD15)</x:f>
      </x:c>
      <x:c r="AG15" s="43"/>
      <x:c r="AH15" s="43"/>
      <x:c r="AI15" s="44" t="str">
        <x:f>IF(OR(AG15="",AH15=""),"",AH15-AG15)</x:f>
      </x:c>
      <x:c r="AJ15" s="41"/>
      <x:c r="AK15" s="41"/>
      <x:c r="AL15" s="42" t="str">
        <x:f>IF(OR(AJ15="",AK15=""),"",AK15-AJ15)</x:f>
      </x:c>
      <x:c r="AM15" s="41"/>
      <x:c r="AN15" s="41"/>
      <x:c r="AO15" s="42" t="str">
        <x:f>IF(OR(AM15="",AN15=""),"",AN15-AM15)</x:f>
      </x:c>
      <x:c r="AP15" s="41"/>
      <x:c r="AQ15" s="41"/>
      <x:c r="AR15" s="42" t="str">
        <x:f>IF(OR(AP15="",AQ15=""),"",AQ15-AP15)</x:f>
      </x:c>
      <x:c r="AS15" s="41"/>
      <x:c r="AT15" s="41"/>
      <x:c r="AU15" s="42" t="str">
        <x:f>IF(OR(AS15="",AT15=""),"",AT15-AS15)</x:f>
      </x:c>
    </x:row>
    <x:row r="16">
      <x:c r="A16" s="40" t="n">
        <x:v>9</x:v>
      </x:c>
      <x:c r="B16" s="40" t="n">
        <x:v>20260931</x:v>
      </x:c>
      <x:c r="C16" s="41"/>
      <x:c r="D16" s="41"/>
      <x:c r="E16" s="42" t="str">
        <x:f>IF(OR(C16="",D16=""),"",D16-C16)</x:f>
      </x:c>
      <x:c r="F16" s="41"/>
      <x:c r="G16" s="41"/>
      <x:c r="H16" s="42" t="str">
        <x:f>IF(OR(F16="",G16=""),"",G16-F16)</x:f>
      </x:c>
      <x:c r="I16" s="41"/>
      <x:c r="J16" s="41"/>
      <x:c r="K16" s="42" t="str">
        <x:f>IF(OR(I16="",J16=""),"",J16-I16)</x:f>
      </x:c>
      <x:c r="L16" s="41"/>
      <x:c r="M16" s="41"/>
      <x:c r="N16" s="42" t="str">
        <x:f>IF(OR(L16="",M16=""),"",M16-L16)</x:f>
      </x:c>
      <x:c r="O16" s="41"/>
      <x:c r="P16" s="41"/>
      <x:c r="Q16" s="42" t="str">
        <x:f>IF(OR(O16="",P16=""),"",P16-O16)</x:f>
      </x:c>
      <x:c r="R16" s="41"/>
      <x:c r="S16" s="41"/>
      <x:c r="T16" s="42" t="str">
        <x:f>IF(OR(R16="",S16=""),"",S16-R16)</x:f>
      </x:c>
      <x:c r="U16" s="43"/>
      <x:c r="V16" s="43"/>
      <x:c r="W16" s="44" t="str">
        <x:f>IF(OR(U16="",V16=""),"",V16-U16)</x:f>
      </x:c>
      <x:c r="X16" s="41"/>
      <x:c r="Y16" s="41"/>
      <x:c r="Z16" s="42" t="str">
        <x:f>IF(OR(X16="",Y16=""),"",Y16-X16)</x:f>
      </x:c>
      <x:c r="AA16" s="41"/>
      <x:c r="AB16" s="41"/>
      <x:c r="AC16" s="42" t="str">
        <x:f>IF(OR(AA16="",AB16=""),"",AB16-AA16)</x:f>
      </x:c>
      <x:c r="AD16" s="41"/>
      <x:c r="AE16" s="41"/>
      <x:c r="AF16" s="42" t="str">
        <x:f>IF(OR(AD16="",AE16=""),"",AE16-AD16)</x:f>
      </x:c>
      <x:c r="AG16" s="43"/>
      <x:c r="AH16" s="43"/>
      <x:c r="AI16" s="44" t="str">
        <x:f>IF(OR(AG16="",AH16=""),"",AH16-AG16)</x:f>
      </x:c>
      <x:c r="AJ16" s="41"/>
      <x:c r="AK16" s="41"/>
      <x:c r="AL16" s="42" t="str">
        <x:f>IF(OR(AJ16="",AK16=""),"",AK16-AJ16)</x:f>
      </x:c>
      <x:c r="AM16" s="41"/>
      <x:c r="AN16" s="41"/>
      <x:c r="AO16" s="42" t="str">
        <x:f>IF(OR(AM16="",AN16=""),"",AN16-AM16)</x:f>
      </x:c>
      <x:c r="AP16" s="41"/>
      <x:c r="AQ16" s="41"/>
      <x:c r="AR16" s="42" t="str">
        <x:f>IF(OR(AP16="",AQ16=""),"",AQ16-AP16)</x:f>
      </x:c>
      <x:c r="AS16" s="41"/>
      <x:c r="AT16" s="41"/>
      <x:c r="AU16" s="42" t="str">
        <x:f>IF(OR(AS16="",AT16=""),"",AT16-AS16)</x:f>
      </x:c>
    </x:row>
    <x:row r="17">
      <x:c r="A17" s="40" t="n">
        <x:v>10</x:v>
      </x:c>
      <x:c r="B17" s="40" t="n">
        <x:v>20260932</x:v>
      </x:c>
      <x:c r="C17" s="41"/>
      <x:c r="D17" s="41"/>
      <x:c r="E17" s="42" t="str">
        <x:f>IF(OR(C17="",D17=""),"",D17-C17)</x:f>
      </x:c>
      <x:c r="F17" s="41"/>
      <x:c r="G17" s="41"/>
      <x:c r="H17" s="42" t="str">
        <x:f>IF(OR(F17="",G17=""),"",G17-F17)</x:f>
      </x:c>
      <x:c r="I17" s="41"/>
      <x:c r="J17" s="41"/>
      <x:c r="K17" s="42" t="str">
        <x:f>IF(OR(I17="",J17=""),"",J17-I17)</x:f>
      </x:c>
      <x:c r="L17" s="41"/>
      <x:c r="M17" s="41"/>
      <x:c r="N17" s="42" t="str">
        <x:f>IF(OR(L17="",M17=""),"",M17-L17)</x:f>
      </x:c>
      <x:c r="O17" s="41"/>
      <x:c r="P17" s="41"/>
      <x:c r="Q17" s="42" t="str">
        <x:f>IF(OR(O17="",P17=""),"",P17-O17)</x:f>
      </x:c>
      <x:c r="R17" s="41"/>
      <x:c r="S17" s="41"/>
      <x:c r="T17" s="42" t="str">
        <x:f>IF(OR(R17="",S17=""),"",S17-R17)</x:f>
      </x:c>
      <x:c r="U17" s="43"/>
      <x:c r="V17" s="43"/>
      <x:c r="W17" s="44" t="str">
        <x:f>IF(OR(U17="",V17=""),"",V17-U17)</x:f>
      </x:c>
      <x:c r="X17" s="41"/>
      <x:c r="Y17" s="41"/>
      <x:c r="Z17" s="42" t="str">
        <x:f>IF(OR(X17="",Y17=""),"",Y17-X17)</x:f>
      </x:c>
      <x:c r="AA17" s="41"/>
      <x:c r="AB17" s="41"/>
      <x:c r="AC17" s="42" t="str">
        <x:f>IF(OR(AA17="",AB17=""),"",AB17-AA17)</x:f>
      </x:c>
      <x:c r="AD17" s="41"/>
      <x:c r="AE17" s="41"/>
      <x:c r="AF17" s="42" t="str">
        <x:f>IF(OR(AD17="",AE17=""),"",AE17-AD17)</x:f>
      </x:c>
      <x:c r="AG17" s="43"/>
      <x:c r="AH17" s="43"/>
      <x:c r="AI17" s="44" t="str">
        <x:f>IF(OR(AG17="",AH17=""),"",AH17-AG17)</x:f>
      </x:c>
      <x:c r="AJ17" s="41"/>
      <x:c r="AK17" s="41"/>
      <x:c r="AL17" s="42" t="str">
        <x:f>IF(OR(AJ17="",AK17=""),"",AK17-AJ17)</x:f>
      </x:c>
      <x:c r="AM17" s="41"/>
      <x:c r="AN17" s="41"/>
      <x:c r="AO17" s="42" t="str">
        <x:f>IF(OR(AM17="",AN17=""),"",AN17-AM17)</x:f>
      </x:c>
      <x:c r="AP17" s="41"/>
      <x:c r="AQ17" s="41"/>
      <x:c r="AR17" s="42" t="str">
        <x:f>IF(OR(AP17="",AQ17=""),"",AQ17-AP17)</x:f>
      </x:c>
      <x:c r="AS17" s="41"/>
      <x:c r="AT17" s="41"/>
      <x:c r="AU17" s="42" t="str">
        <x:f>IF(OR(AS17="",AT17=""),"",AT17-AS17)</x:f>
      </x:c>
    </x:row>
    <x:row r="18">
      <x:c r="A18" s="40" t="n">
        <x:v>11</x:v>
      </x:c>
      <x:c r="B18" s="40" t="n">
        <x:v>20260933</x:v>
      </x:c>
      <x:c r="C18" s="41"/>
      <x:c r="D18" s="41"/>
      <x:c r="E18" s="42" t="str">
        <x:f>IF(OR(C18="",D18=""),"",D18-C18)</x:f>
      </x:c>
      <x:c r="F18" s="41"/>
      <x:c r="G18" s="41"/>
      <x:c r="H18" s="42" t="str">
        <x:f>IF(OR(F18="",G18=""),"",G18-F18)</x:f>
      </x:c>
      <x:c r="I18" s="41"/>
      <x:c r="J18" s="41"/>
      <x:c r="K18" s="42" t="str">
        <x:f>IF(OR(I18="",J18=""),"",J18-I18)</x:f>
      </x:c>
      <x:c r="L18" s="41"/>
      <x:c r="M18" s="41"/>
      <x:c r="N18" s="42" t="str">
        <x:f>IF(OR(L18="",M18=""),"",M18-L18)</x:f>
      </x:c>
      <x:c r="O18" s="41"/>
      <x:c r="P18" s="41"/>
      <x:c r="Q18" s="42" t="str">
        <x:f>IF(OR(O18="",P18=""),"",P18-O18)</x:f>
      </x:c>
      <x:c r="R18" s="41"/>
      <x:c r="S18" s="41"/>
      <x:c r="T18" s="42" t="str">
        <x:f>IF(OR(R18="",S18=""),"",S18-R18)</x:f>
      </x:c>
      <x:c r="U18" s="43"/>
      <x:c r="V18" s="43"/>
      <x:c r="W18" s="44" t="str">
        <x:f>IF(OR(U18="",V18=""),"",V18-U18)</x:f>
      </x:c>
      <x:c r="X18" s="41"/>
      <x:c r="Y18" s="41"/>
      <x:c r="Z18" s="42" t="str">
        <x:f>IF(OR(X18="",Y18=""),"",Y18-X18)</x:f>
      </x:c>
      <x:c r="AA18" s="41"/>
      <x:c r="AB18" s="41"/>
      <x:c r="AC18" s="42" t="str">
        <x:f>IF(OR(AA18="",AB18=""),"",AB18-AA18)</x:f>
      </x:c>
      <x:c r="AD18" s="41"/>
      <x:c r="AE18" s="41"/>
      <x:c r="AF18" s="42" t="str">
        <x:f>IF(OR(AD18="",AE18=""),"",AE18-AD18)</x:f>
      </x:c>
      <x:c r="AG18" s="43"/>
      <x:c r="AH18" s="43"/>
      <x:c r="AI18" s="44" t="str">
        <x:f>IF(OR(AG18="",AH18=""),"",AH18-AG18)</x:f>
      </x:c>
      <x:c r="AJ18" s="41"/>
      <x:c r="AK18" s="41"/>
      <x:c r="AL18" s="42" t="str">
        <x:f>IF(OR(AJ18="",AK18=""),"",AK18-AJ18)</x:f>
      </x:c>
      <x:c r="AM18" s="41"/>
      <x:c r="AN18" s="41"/>
      <x:c r="AO18" s="42" t="str">
        <x:f>IF(OR(AM18="",AN18=""),"",AN18-AM18)</x:f>
      </x:c>
      <x:c r="AP18" s="41"/>
      <x:c r="AQ18" s="41"/>
      <x:c r="AR18" s="42" t="str">
        <x:f>IF(OR(AP18="",AQ18=""),"",AQ18-AP18)</x:f>
      </x:c>
      <x:c r="AS18" s="41"/>
      <x:c r="AT18" s="41"/>
      <x:c r="AU18" s="42" t="str">
        <x:f>IF(OR(AS18="",AT18=""),"",AT18-AS18)</x:f>
      </x:c>
    </x:row>
    <x:row r="19">
      <x:c r="A19" s="40" t="n">
        <x:v>12</x:v>
      </x:c>
      <x:c r="B19" s="40" t="n">
        <x:v>20260934</x:v>
      </x:c>
      <x:c r="C19" s="41"/>
      <x:c r="D19" s="41"/>
      <x:c r="E19" s="42" t="str">
        <x:f>IF(OR(C19="",D19=""),"",D19-C19)</x:f>
      </x:c>
      <x:c r="F19" s="41"/>
      <x:c r="G19" s="41"/>
      <x:c r="H19" s="42" t="str">
        <x:f>IF(OR(F19="",G19=""),"",G19-F19)</x:f>
      </x:c>
      <x:c r="I19" s="41"/>
      <x:c r="J19" s="41"/>
      <x:c r="K19" s="42" t="str">
        <x:f>IF(OR(I19="",J19=""),"",J19-I19)</x:f>
      </x:c>
      <x:c r="L19" s="41"/>
      <x:c r="M19" s="41"/>
      <x:c r="N19" s="42" t="str">
        <x:f>IF(OR(L19="",M19=""),"",M19-L19)</x:f>
      </x:c>
      <x:c r="O19" s="41"/>
      <x:c r="P19" s="41"/>
      <x:c r="Q19" s="42" t="str">
        <x:f>IF(OR(O19="",P19=""),"",P19-O19)</x:f>
      </x:c>
      <x:c r="R19" s="41"/>
      <x:c r="S19" s="41"/>
      <x:c r="T19" s="42" t="str">
        <x:f>IF(OR(R19="",S19=""),"",S19-R19)</x:f>
      </x:c>
      <x:c r="U19" s="43"/>
      <x:c r="V19" s="43"/>
      <x:c r="W19" s="44" t="str">
        <x:f>IF(OR(U19="",V19=""),"",V19-U19)</x:f>
      </x:c>
      <x:c r="X19" s="41"/>
      <x:c r="Y19" s="41"/>
      <x:c r="Z19" s="42" t="str">
        <x:f>IF(OR(X19="",Y19=""),"",Y19-X19)</x:f>
      </x:c>
      <x:c r="AA19" s="41"/>
      <x:c r="AB19" s="41"/>
      <x:c r="AC19" s="42" t="str">
        <x:f>IF(OR(AA19="",AB19=""),"",AB19-AA19)</x:f>
      </x:c>
      <x:c r="AD19" s="41"/>
      <x:c r="AE19" s="41"/>
      <x:c r="AF19" s="42" t="str">
        <x:f>IF(OR(AD19="",AE19=""),"",AE19-AD19)</x:f>
      </x:c>
      <x:c r="AG19" s="43"/>
      <x:c r="AH19" s="43"/>
      <x:c r="AI19" s="44" t="str">
        <x:f>IF(OR(AG19="",AH19=""),"",AH19-AG19)</x:f>
      </x:c>
      <x:c r="AJ19" s="41"/>
      <x:c r="AK19" s="41"/>
      <x:c r="AL19" s="42" t="str">
        <x:f>IF(OR(AJ19="",AK19=""),"",AK19-AJ19)</x:f>
      </x:c>
      <x:c r="AM19" s="41"/>
      <x:c r="AN19" s="41"/>
      <x:c r="AO19" s="42" t="str">
        <x:f>IF(OR(AM19="",AN19=""),"",AN19-AM19)</x:f>
      </x:c>
      <x:c r="AP19" s="41"/>
      <x:c r="AQ19" s="41"/>
      <x:c r="AR19" s="42" t="str">
        <x:f>IF(OR(AP19="",AQ19=""),"",AQ19-AP19)</x:f>
      </x:c>
      <x:c r="AS19" s="41"/>
      <x:c r="AT19" s="41"/>
      <x:c r="AU19" s="42" t="str">
        <x:f>IF(OR(AS19="",AT19=""),"",AT19-AS19)</x:f>
      </x:c>
    </x:row>
    <x:row r="20">
      <x:c r="A20" s="40" t="n">
        <x:v>13</x:v>
      </x:c>
      <x:c r="B20" s="40" t="n">
        <x:v>20260935</x:v>
      </x:c>
      <x:c r="C20" s="41"/>
      <x:c r="D20" s="41"/>
      <x:c r="E20" s="42" t="str">
        <x:f>IF(OR(C20="",D20=""),"",D20-C20)</x:f>
      </x:c>
      <x:c r="F20" s="41"/>
      <x:c r="G20" s="41"/>
      <x:c r="H20" s="42" t="str">
        <x:f>IF(OR(F20="",G20=""),"",G20-F20)</x:f>
      </x:c>
      <x:c r="I20" s="41"/>
      <x:c r="J20" s="41"/>
      <x:c r="K20" s="42" t="str">
        <x:f>IF(OR(I20="",J20=""),"",J20-I20)</x:f>
      </x:c>
      <x:c r="L20" s="41"/>
      <x:c r="M20" s="41"/>
      <x:c r="N20" s="42" t="str">
        <x:f>IF(OR(L20="",M20=""),"",M20-L20)</x:f>
      </x:c>
      <x:c r="O20" s="41"/>
      <x:c r="P20" s="41"/>
      <x:c r="Q20" s="42" t="str">
        <x:f>IF(OR(O20="",P20=""),"",P20-O20)</x:f>
      </x:c>
      <x:c r="R20" s="41"/>
      <x:c r="S20" s="41"/>
      <x:c r="T20" s="42" t="str">
        <x:f>IF(OR(R20="",S20=""),"",S20-R20)</x:f>
      </x:c>
      <x:c r="U20" s="43"/>
      <x:c r="V20" s="43"/>
      <x:c r="W20" s="44" t="str">
        <x:f>IF(OR(U20="",V20=""),"",V20-U20)</x:f>
      </x:c>
      <x:c r="X20" s="41"/>
      <x:c r="Y20" s="41"/>
      <x:c r="Z20" s="42" t="str">
        <x:f>IF(OR(X20="",Y20=""),"",Y20-X20)</x:f>
      </x:c>
      <x:c r="AA20" s="41"/>
      <x:c r="AB20" s="41"/>
      <x:c r="AC20" s="42" t="str">
        <x:f>IF(OR(AA20="",AB20=""),"",AB20-AA20)</x:f>
      </x:c>
      <x:c r="AD20" s="41"/>
      <x:c r="AE20" s="41"/>
      <x:c r="AF20" s="42" t="str">
        <x:f>IF(OR(AD20="",AE20=""),"",AE20-AD20)</x:f>
      </x:c>
      <x:c r="AG20" s="43"/>
      <x:c r="AH20" s="43"/>
      <x:c r="AI20" s="44" t="str">
        <x:f>IF(OR(AG20="",AH20=""),"",AH20-AG20)</x:f>
      </x:c>
      <x:c r="AJ20" s="41"/>
      <x:c r="AK20" s="41"/>
      <x:c r="AL20" s="42" t="str">
        <x:f>IF(OR(AJ20="",AK20=""),"",AK20-AJ20)</x:f>
      </x:c>
      <x:c r="AM20" s="41"/>
      <x:c r="AN20" s="41"/>
      <x:c r="AO20" s="42" t="str">
        <x:f>IF(OR(AM20="",AN20=""),"",AN20-AM20)</x:f>
      </x:c>
      <x:c r="AP20" s="41"/>
      <x:c r="AQ20" s="41"/>
      <x:c r="AR20" s="42" t="str">
        <x:f>IF(OR(AP20="",AQ20=""),"",AQ20-AP20)</x:f>
      </x:c>
      <x:c r="AS20" s="41"/>
      <x:c r="AT20" s="41"/>
      <x:c r="AU20" s="42" t="str">
        <x:f>IF(OR(AS20="",AT20=""),"",AT20-AS20)</x:f>
      </x:c>
    </x:row>
    <x:row r="21">
      <x:c r="A21" s="40" t="n">
        <x:v>14</x:v>
      </x:c>
      <x:c r="B21" s="40" t="n">
        <x:v>20260936</x:v>
      </x:c>
      <x:c r="C21" s="41"/>
      <x:c r="D21" s="41"/>
      <x:c r="E21" s="42" t="str">
        <x:f>IF(OR(C21="",D21=""),"",D21-C21)</x:f>
      </x:c>
      <x:c r="F21" s="41"/>
      <x:c r="G21" s="41"/>
      <x:c r="H21" s="42" t="str">
        <x:f>IF(OR(F21="",G21=""),"",G21-F21)</x:f>
      </x:c>
      <x:c r="I21" s="41"/>
      <x:c r="J21" s="41"/>
      <x:c r="K21" s="42" t="str">
        <x:f>IF(OR(I21="",J21=""),"",J21-I21)</x:f>
      </x:c>
      <x:c r="L21" s="41"/>
      <x:c r="M21" s="41"/>
      <x:c r="N21" s="42" t="str">
        <x:f>IF(OR(L21="",M21=""),"",M21-L21)</x:f>
      </x:c>
      <x:c r="O21" s="41"/>
      <x:c r="P21" s="41"/>
      <x:c r="Q21" s="42" t="str">
        <x:f>IF(OR(O21="",P21=""),"",P21-O21)</x:f>
      </x:c>
      <x:c r="R21" s="41"/>
      <x:c r="S21" s="41"/>
      <x:c r="T21" s="42" t="str">
        <x:f>IF(OR(R21="",S21=""),"",S21-R21)</x:f>
      </x:c>
      <x:c r="U21" s="43"/>
      <x:c r="V21" s="43"/>
      <x:c r="W21" s="44" t="str">
        <x:f>IF(OR(U21="",V21=""),"",V21-U21)</x:f>
      </x:c>
      <x:c r="X21" s="41"/>
      <x:c r="Y21" s="41"/>
      <x:c r="Z21" s="42" t="str">
        <x:f>IF(OR(X21="",Y21=""),"",Y21-X21)</x:f>
      </x:c>
      <x:c r="AA21" s="41"/>
      <x:c r="AB21" s="41"/>
      <x:c r="AC21" s="42" t="str">
        <x:f>IF(OR(AA21="",AB21=""),"",AB21-AA21)</x:f>
      </x:c>
      <x:c r="AD21" s="41"/>
      <x:c r="AE21" s="41"/>
      <x:c r="AF21" s="42" t="str">
        <x:f>IF(OR(AD21="",AE21=""),"",AE21-AD21)</x:f>
      </x:c>
      <x:c r="AG21" s="43"/>
      <x:c r="AH21" s="43"/>
      <x:c r="AI21" s="44" t="str">
        <x:f>IF(OR(AG21="",AH21=""),"",AH21-AG21)</x:f>
      </x:c>
      <x:c r="AJ21" s="41"/>
      <x:c r="AK21" s="41"/>
      <x:c r="AL21" s="42" t="str">
        <x:f>IF(OR(AJ21="",AK21=""),"",AK21-AJ21)</x:f>
      </x:c>
      <x:c r="AM21" s="41"/>
      <x:c r="AN21" s="41"/>
      <x:c r="AO21" s="42" t="str">
        <x:f>IF(OR(AM21="",AN21=""),"",AN21-AM21)</x:f>
      </x:c>
      <x:c r="AP21" s="41"/>
      <x:c r="AQ21" s="41"/>
      <x:c r="AR21" s="42" t="str">
        <x:f>IF(OR(AP21="",AQ21=""),"",AQ21-AP21)</x:f>
      </x:c>
      <x:c r="AS21" s="41"/>
      <x:c r="AT21" s="41"/>
      <x:c r="AU21" s="42" t="str">
        <x:f>IF(OR(AS21="",AT21=""),"",AT21-AS21)</x:f>
      </x:c>
    </x:row>
    <x:row r="22">
      <x:c r="A22" s="40" t="n">
        <x:v>15</x:v>
      </x:c>
      <x:c r="B22" s="40" t="n">
        <x:v>20260937</x:v>
      </x:c>
      <x:c r="C22" s="41"/>
      <x:c r="D22" s="41"/>
      <x:c r="E22" s="42" t="str">
        <x:f>IF(OR(C22="",D22=""),"",D22-C22)</x:f>
      </x:c>
      <x:c r="F22" s="41"/>
      <x:c r="G22" s="41"/>
      <x:c r="H22" s="42" t="str">
        <x:f>IF(OR(F22="",G22=""),"",G22-F22)</x:f>
      </x:c>
      <x:c r="I22" s="41"/>
      <x:c r="J22" s="41"/>
      <x:c r="K22" s="42" t="str">
        <x:f>IF(OR(I22="",J22=""),"",J22-I22)</x:f>
      </x:c>
      <x:c r="L22" s="41"/>
      <x:c r="M22" s="41"/>
      <x:c r="N22" s="42" t="str">
        <x:f>IF(OR(L22="",M22=""),"",M22-L22)</x:f>
      </x:c>
      <x:c r="O22" s="41"/>
      <x:c r="P22" s="41"/>
      <x:c r="Q22" s="42" t="str">
        <x:f>IF(OR(O22="",P22=""),"",P22-O22)</x:f>
      </x:c>
      <x:c r="R22" s="41"/>
      <x:c r="S22" s="41"/>
      <x:c r="T22" s="42" t="str">
        <x:f>IF(OR(R22="",S22=""),"",S22-R22)</x:f>
      </x:c>
      <x:c r="U22" s="43"/>
      <x:c r="V22" s="43"/>
      <x:c r="W22" s="44" t="str">
        <x:f>IF(OR(U22="",V22=""),"",V22-U22)</x:f>
      </x:c>
      <x:c r="X22" s="41"/>
      <x:c r="Y22" s="41"/>
      <x:c r="Z22" s="42" t="str">
        <x:f>IF(OR(X22="",Y22=""),"",Y22-X22)</x:f>
      </x:c>
      <x:c r="AA22" s="41"/>
      <x:c r="AB22" s="41"/>
      <x:c r="AC22" s="42" t="str">
        <x:f>IF(OR(AA22="",AB22=""),"",AB22-AA22)</x:f>
      </x:c>
      <x:c r="AD22" s="41"/>
      <x:c r="AE22" s="41"/>
      <x:c r="AF22" s="42" t="str">
        <x:f>IF(OR(AD22="",AE22=""),"",AE22-AD22)</x:f>
      </x:c>
      <x:c r="AG22" s="43"/>
      <x:c r="AH22" s="43"/>
      <x:c r="AI22" s="44" t="str">
        <x:f>IF(OR(AG22="",AH22=""),"",AH22-AG22)</x:f>
      </x:c>
      <x:c r="AJ22" s="41"/>
      <x:c r="AK22" s="41"/>
      <x:c r="AL22" s="42" t="str">
        <x:f>IF(OR(AJ22="",AK22=""),"",AK22-AJ22)</x:f>
      </x:c>
      <x:c r="AM22" s="41"/>
      <x:c r="AN22" s="41"/>
      <x:c r="AO22" s="42" t="str">
        <x:f>IF(OR(AM22="",AN22=""),"",AN22-AM22)</x:f>
      </x:c>
      <x:c r="AP22" s="41"/>
      <x:c r="AQ22" s="41"/>
      <x:c r="AR22" s="42" t="str">
        <x:f>IF(OR(AP22="",AQ22=""),"",AQ22-AP22)</x:f>
      </x:c>
      <x:c r="AS22" s="41"/>
      <x:c r="AT22" s="41"/>
      <x:c r="AU22" s="42" t="str">
        <x:f>IF(OR(AS22="",AT22=""),"",AT22-AS22)</x:f>
      </x:c>
    </x:row>
    <x:row r="23">
      <x:c r="A23" s="40" t="n">
        <x:v>16</x:v>
      </x:c>
      <x:c r="B23" s="40" t="n">
        <x:v>20260938</x:v>
      </x:c>
      <x:c r="C23" s="41"/>
      <x:c r="D23" s="41"/>
      <x:c r="E23" s="42" t="str">
        <x:f>IF(OR(C23="",D23=""),"",D23-C23)</x:f>
      </x:c>
      <x:c r="F23" s="41"/>
      <x:c r="G23" s="41"/>
      <x:c r="H23" s="42" t="str">
        <x:f>IF(OR(F23="",G23=""),"",G23-F23)</x:f>
      </x:c>
      <x:c r="I23" s="41"/>
      <x:c r="J23" s="41"/>
      <x:c r="K23" s="42" t="str">
        <x:f>IF(OR(I23="",J23=""),"",J23-I23)</x:f>
      </x:c>
      <x:c r="L23" s="41"/>
      <x:c r="M23" s="41"/>
      <x:c r="N23" s="42" t="str">
        <x:f>IF(OR(L23="",M23=""),"",M23-L23)</x:f>
      </x:c>
      <x:c r="O23" s="41"/>
      <x:c r="P23" s="41"/>
      <x:c r="Q23" s="42" t="str">
        <x:f>IF(OR(O23="",P23=""),"",P23-O23)</x:f>
      </x:c>
      <x:c r="R23" s="41"/>
      <x:c r="S23" s="41"/>
      <x:c r="T23" s="42" t="str">
        <x:f>IF(OR(R23="",S23=""),"",S23-R23)</x:f>
      </x:c>
      <x:c r="U23" s="43"/>
      <x:c r="V23" s="43"/>
      <x:c r="W23" s="44" t="str">
        <x:f>IF(OR(U23="",V23=""),"",V23-U23)</x:f>
      </x:c>
      <x:c r="X23" s="41"/>
      <x:c r="Y23" s="41"/>
      <x:c r="Z23" s="42" t="str">
        <x:f>IF(OR(X23="",Y23=""),"",Y23-X23)</x:f>
      </x:c>
      <x:c r="AA23" s="41"/>
      <x:c r="AB23" s="41"/>
      <x:c r="AC23" s="42" t="str">
        <x:f>IF(OR(AA23="",AB23=""),"",AB23-AA23)</x:f>
      </x:c>
      <x:c r="AD23" s="41"/>
      <x:c r="AE23" s="41"/>
      <x:c r="AF23" s="42" t="str">
        <x:f>IF(OR(AD23="",AE23=""),"",AE23-AD23)</x:f>
      </x:c>
      <x:c r="AG23" s="43"/>
      <x:c r="AH23" s="43"/>
      <x:c r="AI23" s="44" t="str">
        <x:f>IF(OR(AG23="",AH23=""),"",AH23-AG23)</x:f>
      </x:c>
      <x:c r="AJ23" s="41"/>
      <x:c r="AK23" s="41"/>
      <x:c r="AL23" s="42" t="str">
        <x:f>IF(OR(AJ23="",AK23=""),"",AK23-AJ23)</x:f>
      </x:c>
      <x:c r="AM23" s="41"/>
      <x:c r="AN23" s="41"/>
      <x:c r="AO23" s="42" t="str">
        <x:f>IF(OR(AM23="",AN23=""),"",AN23-AM23)</x:f>
      </x:c>
      <x:c r="AP23" s="41"/>
      <x:c r="AQ23" s="41"/>
      <x:c r="AR23" s="42" t="str">
        <x:f>IF(OR(AP23="",AQ23=""),"",AQ23-AP23)</x:f>
      </x:c>
      <x:c r="AS23" s="41"/>
      <x:c r="AT23" s="41"/>
      <x:c r="AU23" s="42" t="str">
        <x:f>IF(OR(AS23="",AT23=""),"",AT23-AS23)</x:f>
      </x:c>
    </x:row>
    <x:row r="24">
      <x:c r="A24" s="40" t="n">
        <x:v>17</x:v>
      </x:c>
      <x:c r="B24" s="40" t="n">
        <x:v>20260939</x:v>
      </x:c>
      <x:c r="C24" s="41"/>
      <x:c r="D24" s="41"/>
      <x:c r="E24" s="42" t="str">
        <x:f>IF(OR(C24="",D24=""),"",D24-C24)</x:f>
      </x:c>
      <x:c r="F24" s="41"/>
      <x:c r="G24" s="41"/>
      <x:c r="H24" s="42" t="str">
        <x:f>IF(OR(F24="",G24=""),"",G24-F24)</x:f>
      </x:c>
      <x:c r="I24" s="41"/>
      <x:c r="J24" s="41"/>
      <x:c r="K24" s="42" t="str">
        <x:f>IF(OR(I24="",J24=""),"",J24-I24)</x:f>
      </x:c>
      <x:c r="L24" s="41"/>
      <x:c r="M24" s="41"/>
      <x:c r="N24" s="42" t="str">
        <x:f>IF(OR(L24="",M24=""),"",M24-L24)</x:f>
      </x:c>
      <x:c r="O24" s="41"/>
      <x:c r="P24" s="41"/>
      <x:c r="Q24" s="42" t="str">
        <x:f>IF(OR(O24="",P24=""),"",P24-O24)</x:f>
      </x:c>
      <x:c r="R24" s="41"/>
      <x:c r="S24" s="41"/>
      <x:c r="T24" s="42" t="str">
        <x:f>IF(OR(R24="",S24=""),"",S24-R24)</x:f>
      </x:c>
      <x:c r="U24" s="43"/>
      <x:c r="V24" s="43"/>
      <x:c r="W24" s="44" t="str">
        <x:f>IF(OR(U24="",V24=""),"",V24-U24)</x:f>
      </x:c>
      <x:c r="X24" s="41"/>
      <x:c r="Y24" s="41"/>
      <x:c r="Z24" s="42" t="str">
        <x:f>IF(OR(X24="",Y24=""),"",Y24-X24)</x:f>
      </x:c>
      <x:c r="AA24" s="41"/>
      <x:c r="AB24" s="41"/>
      <x:c r="AC24" s="42" t="str">
        <x:f>IF(OR(AA24="",AB24=""),"",AB24-AA24)</x:f>
      </x:c>
      <x:c r="AD24" s="41"/>
      <x:c r="AE24" s="41"/>
      <x:c r="AF24" s="42" t="str">
        <x:f>IF(OR(AD24="",AE24=""),"",AE24-AD24)</x:f>
      </x:c>
      <x:c r="AG24" s="43"/>
      <x:c r="AH24" s="43"/>
      <x:c r="AI24" s="44" t="str">
        <x:f>IF(OR(AG24="",AH24=""),"",AH24-AG24)</x:f>
      </x:c>
      <x:c r="AJ24" s="41"/>
      <x:c r="AK24" s="41"/>
      <x:c r="AL24" s="42" t="str">
        <x:f>IF(OR(AJ24="",AK24=""),"",AK24-AJ24)</x:f>
      </x:c>
      <x:c r="AM24" s="41"/>
      <x:c r="AN24" s="41"/>
      <x:c r="AO24" s="42" t="str">
        <x:f>IF(OR(AM24="",AN24=""),"",AN24-AM24)</x:f>
      </x:c>
      <x:c r="AP24" s="41"/>
      <x:c r="AQ24" s="41"/>
      <x:c r="AR24" s="42" t="str">
        <x:f>IF(OR(AP24="",AQ24=""),"",AQ24-AP24)</x:f>
      </x:c>
      <x:c r="AS24" s="41"/>
      <x:c r="AT24" s="41"/>
      <x:c r="AU24" s="42" t="str">
        <x:f>IF(OR(AS24="",AT24=""),"",AT24-AS24)</x:f>
      </x:c>
    </x:row>
    <x:row r="25">
      <x:c r="A25" s="40" t="n">
        <x:v>18</x:v>
      </x:c>
      <x:c r="B25" s="40" t="n">
        <x:v>20260940</x:v>
      </x:c>
      <x:c r="C25" s="41"/>
      <x:c r="D25" s="41"/>
      <x:c r="E25" s="42" t="str">
        <x:f>IF(OR(C25="",D25=""),"",D25-C25)</x:f>
      </x:c>
      <x:c r="F25" s="41"/>
      <x:c r="G25" s="41"/>
      <x:c r="H25" s="42" t="str">
        <x:f>IF(OR(F25="",G25=""),"",G25-F25)</x:f>
      </x:c>
      <x:c r="I25" s="41"/>
      <x:c r="J25" s="41"/>
      <x:c r="K25" s="42" t="str">
        <x:f>IF(OR(I25="",J25=""),"",J25-I25)</x:f>
      </x:c>
      <x:c r="L25" s="41"/>
      <x:c r="M25" s="41"/>
      <x:c r="N25" s="42" t="str">
        <x:f>IF(OR(L25="",M25=""),"",M25-L25)</x:f>
      </x:c>
      <x:c r="O25" s="41"/>
      <x:c r="P25" s="41"/>
      <x:c r="Q25" s="42" t="str">
        <x:f>IF(OR(O25="",P25=""),"",P25-O25)</x:f>
      </x:c>
      <x:c r="R25" s="41"/>
      <x:c r="S25" s="41"/>
      <x:c r="T25" s="42" t="str">
        <x:f>IF(OR(R25="",S25=""),"",S25-R25)</x:f>
      </x:c>
      <x:c r="U25" s="43"/>
      <x:c r="V25" s="43"/>
      <x:c r="W25" s="44" t="str">
        <x:f>IF(OR(U25="",V25=""),"",V25-U25)</x:f>
      </x:c>
      <x:c r="X25" s="41"/>
      <x:c r="Y25" s="41"/>
      <x:c r="Z25" s="42" t="str">
        <x:f>IF(OR(X25="",Y25=""),"",Y25-X25)</x:f>
      </x:c>
      <x:c r="AA25" s="41"/>
      <x:c r="AB25" s="41"/>
      <x:c r="AC25" s="42" t="str">
        <x:f>IF(OR(AA25="",AB25=""),"",AB25-AA25)</x:f>
      </x:c>
      <x:c r="AD25" s="41"/>
      <x:c r="AE25" s="41"/>
      <x:c r="AF25" s="42" t="str">
        <x:f>IF(OR(AD25="",AE25=""),"",AE25-AD25)</x:f>
      </x:c>
      <x:c r="AG25" s="43"/>
      <x:c r="AH25" s="43"/>
      <x:c r="AI25" s="44" t="str">
        <x:f>IF(OR(AG25="",AH25=""),"",AH25-AG25)</x:f>
      </x:c>
      <x:c r="AJ25" s="41"/>
      <x:c r="AK25" s="41"/>
      <x:c r="AL25" s="42" t="str">
        <x:f>IF(OR(AJ25="",AK25=""),"",AK25-AJ25)</x:f>
      </x:c>
      <x:c r="AM25" s="41"/>
      <x:c r="AN25" s="41"/>
      <x:c r="AO25" s="42" t="str">
        <x:f>IF(OR(AM25="",AN25=""),"",AN25-AM25)</x:f>
      </x:c>
      <x:c r="AP25" s="41"/>
      <x:c r="AQ25" s="41"/>
      <x:c r="AR25" s="42" t="str">
        <x:f>IF(OR(AP25="",AQ25=""),"",AQ25-AP25)</x:f>
      </x:c>
      <x:c r="AS25" s="41"/>
      <x:c r="AT25" s="41"/>
      <x:c r="AU25" s="42" t="str">
        <x:f>IF(OR(AS25="",AT25=""),"",AT25-AS25)</x:f>
      </x:c>
    </x:row>
    <x:row r="26">
      <x:c r="A26" s="40" t="n">
        <x:v>19</x:v>
      </x:c>
      <x:c r="B26" s="40" t="n">
        <x:v>20260941</x:v>
      </x:c>
      <x:c r="C26" s="41"/>
      <x:c r="D26" s="41"/>
      <x:c r="E26" s="42" t="str">
        <x:f>IF(OR(C26="",D26=""),"",D26-C26)</x:f>
      </x:c>
      <x:c r="F26" s="41"/>
      <x:c r="G26" s="41"/>
      <x:c r="H26" s="42" t="str">
        <x:f>IF(OR(F26="",G26=""),"",G26-F26)</x:f>
      </x:c>
      <x:c r="I26" s="41"/>
      <x:c r="J26" s="41"/>
      <x:c r="K26" s="42" t="str">
        <x:f>IF(OR(I26="",J26=""),"",J26-I26)</x:f>
      </x:c>
      <x:c r="L26" s="41"/>
      <x:c r="M26" s="41"/>
      <x:c r="N26" s="42" t="str">
        <x:f>IF(OR(L26="",M26=""),"",M26-L26)</x:f>
      </x:c>
      <x:c r="O26" s="41"/>
      <x:c r="P26" s="41"/>
      <x:c r="Q26" s="42" t="str">
        <x:f>IF(OR(O26="",P26=""),"",P26-O26)</x:f>
      </x:c>
      <x:c r="R26" s="41"/>
      <x:c r="S26" s="41"/>
      <x:c r="T26" s="42" t="str">
        <x:f>IF(OR(R26="",S26=""),"",S26-R26)</x:f>
      </x:c>
      <x:c r="U26" s="43"/>
      <x:c r="V26" s="43"/>
      <x:c r="W26" s="44" t="str">
        <x:f>IF(OR(U26="",V26=""),"",V26-U26)</x:f>
      </x:c>
      <x:c r="X26" s="41"/>
      <x:c r="Y26" s="41"/>
      <x:c r="Z26" s="42" t="str">
        <x:f>IF(OR(X26="",Y26=""),"",Y26-X26)</x:f>
      </x:c>
      <x:c r="AA26" s="41"/>
      <x:c r="AB26" s="41"/>
      <x:c r="AC26" s="42" t="str">
        <x:f>IF(OR(AA26="",AB26=""),"",AB26-AA26)</x:f>
      </x:c>
      <x:c r="AD26" s="41"/>
      <x:c r="AE26" s="41"/>
      <x:c r="AF26" s="42" t="str">
        <x:f>IF(OR(AD26="",AE26=""),"",AE26-AD26)</x:f>
      </x:c>
      <x:c r="AG26" s="43"/>
      <x:c r="AH26" s="43"/>
      <x:c r="AI26" s="44" t="str">
        <x:f>IF(OR(AG26="",AH26=""),"",AH26-AG26)</x:f>
      </x:c>
      <x:c r="AJ26" s="41"/>
      <x:c r="AK26" s="41"/>
      <x:c r="AL26" s="42" t="str">
        <x:f>IF(OR(AJ26="",AK26=""),"",AK26-AJ26)</x:f>
      </x:c>
      <x:c r="AM26" s="41"/>
      <x:c r="AN26" s="41"/>
      <x:c r="AO26" s="42" t="str">
        <x:f>IF(OR(AM26="",AN26=""),"",AN26-AM26)</x:f>
      </x:c>
      <x:c r="AP26" s="41"/>
      <x:c r="AQ26" s="41"/>
      <x:c r="AR26" s="42" t="str">
        <x:f>IF(OR(AP26="",AQ26=""),"",AQ26-AP26)</x:f>
      </x:c>
      <x:c r="AS26" s="41"/>
      <x:c r="AT26" s="41"/>
      <x:c r="AU26" s="42" t="str">
        <x:f>IF(OR(AS26="",AT26=""),"",AT26-AS26)</x:f>
      </x:c>
    </x:row>
    <x:row r="27">
      <x:c r="A27" s="40" t="n">
        <x:v>20</x:v>
      </x:c>
      <x:c r="B27" s="40" t="n">
        <x:v>20260942</x:v>
      </x:c>
      <x:c r="C27" s="41"/>
      <x:c r="D27" s="41"/>
      <x:c r="E27" s="42" t="str">
        <x:f>IF(OR(C27="",D27=""),"",D27-C27)</x:f>
      </x:c>
      <x:c r="F27" s="41"/>
      <x:c r="G27" s="41"/>
      <x:c r="H27" s="42" t="str">
        <x:f>IF(OR(F27="",G27=""),"",G27-F27)</x:f>
      </x:c>
      <x:c r="I27" s="41"/>
      <x:c r="J27" s="41"/>
      <x:c r="K27" s="42" t="str">
        <x:f>IF(OR(I27="",J27=""),"",J27-I27)</x:f>
      </x:c>
      <x:c r="L27" s="41"/>
      <x:c r="M27" s="41"/>
      <x:c r="N27" s="42" t="str">
        <x:f>IF(OR(L27="",M27=""),"",M27-L27)</x:f>
      </x:c>
      <x:c r="O27" s="41"/>
      <x:c r="P27" s="41"/>
      <x:c r="Q27" s="42" t="str">
        <x:f>IF(OR(O27="",P27=""),"",P27-O27)</x:f>
      </x:c>
      <x:c r="R27" s="41"/>
      <x:c r="S27" s="41"/>
      <x:c r="T27" s="42" t="str">
        <x:f>IF(OR(R27="",S27=""),"",S27-R27)</x:f>
      </x:c>
      <x:c r="U27" s="43"/>
      <x:c r="V27" s="43"/>
      <x:c r="W27" s="44" t="str">
        <x:f>IF(OR(U27="",V27=""),"",V27-U27)</x:f>
      </x:c>
      <x:c r="X27" s="41"/>
      <x:c r="Y27" s="41"/>
      <x:c r="Z27" s="42" t="str">
        <x:f>IF(OR(X27="",Y27=""),"",Y27-X27)</x:f>
      </x:c>
      <x:c r="AA27" s="41"/>
      <x:c r="AB27" s="41"/>
      <x:c r="AC27" s="42" t="str">
        <x:f>IF(OR(AA27="",AB27=""),"",AB27-AA27)</x:f>
      </x:c>
      <x:c r="AD27" s="41"/>
      <x:c r="AE27" s="41"/>
      <x:c r="AF27" s="42" t="str">
        <x:f>IF(OR(AD27="",AE27=""),"",AE27-AD27)</x:f>
      </x:c>
      <x:c r="AG27" s="43"/>
      <x:c r="AH27" s="43"/>
      <x:c r="AI27" s="44" t="str">
        <x:f>IF(OR(AG27="",AH27=""),"",AH27-AG27)</x:f>
      </x:c>
      <x:c r="AJ27" s="41"/>
      <x:c r="AK27" s="41"/>
      <x:c r="AL27" s="42" t="str">
        <x:f>IF(OR(AJ27="",AK27=""),"",AK27-AJ27)</x:f>
      </x:c>
      <x:c r="AM27" s="41"/>
      <x:c r="AN27" s="41"/>
      <x:c r="AO27" s="42" t="str">
        <x:f>IF(OR(AM27="",AN27=""),"",AN27-AM27)</x:f>
      </x:c>
      <x:c r="AP27" s="41"/>
      <x:c r="AQ27" s="41"/>
      <x:c r="AR27" s="42" t="str">
        <x:f>IF(OR(AP27="",AQ27=""),"",AQ27-AP27)</x:f>
      </x:c>
      <x:c r="AS27" s="41"/>
      <x:c r="AT27" s="41"/>
      <x:c r="AU27" s="42" t="str">
        <x:f>IF(OR(AS27="",AT27=""),"",AT27-AS27)</x:f>
      </x:c>
    </x:row>
    <x:row r="28">
      <x:c r="A28" s="40" t="n">
        <x:v>21</x:v>
      </x:c>
      <x:c r="B28" s="40" t="n">
        <x:v>20260943</x:v>
      </x:c>
      <x:c r="C28" s="41"/>
      <x:c r="D28" s="41"/>
      <x:c r="E28" s="42" t="str">
        <x:f>IF(OR(C28="",D28=""),"",D28-C28)</x:f>
      </x:c>
      <x:c r="F28" s="41"/>
      <x:c r="G28" s="41"/>
      <x:c r="H28" s="42" t="str">
        <x:f>IF(OR(F28="",G28=""),"",G28-F28)</x:f>
      </x:c>
      <x:c r="I28" s="41"/>
      <x:c r="J28" s="41"/>
      <x:c r="K28" s="42" t="str">
        <x:f>IF(OR(I28="",J28=""),"",J28-I28)</x:f>
      </x:c>
      <x:c r="L28" s="41"/>
      <x:c r="M28" s="41"/>
      <x:c r="N28" s="42" t="str">
        <x:f>IF(OR(L28="",M28=""),"",M28-L28)</x:f>
      </x:c>
      <x:c r="O28" s="41"/>
      <x:c r="P28" s="41"/>
      <x:c r="Q28" s="42" t="str">
        <x:f>IF(OR(O28="",P28=""),"",P28-O28)</x:f>
      </x:c>
      <x:c r="R28" s="41"/>
      <x:c r="S28" s="41"/>
      <x:c r="T28" s="42" t="str">
        <x:f>IF(OR(R28="",S28=""),"",S28-R28)</x:f>
      </x:c>
      <x:c r="U28" s="43"/>
      <x:c r="V28" s="43"/>
      <x:c r="W28" s="44" t="str">
        <x:f>IF(OR(U28="",V28=""),"",V28-U28)</x:f>
      </x:c>
      <x:c r="X28" s="41"/>
      <x:c r="Y28" s="41"/>
      <x:c r="Z28" s="42" t="str">
        <x:f>IF(OR(X28="",Y28=""),"",Y28-X28)</x:f>
      </x:c>
      <x:c r="AA28" s="41"/>
      <x:c r="AB28" s="41"/>
      <x:c r="AC28" s="42" t="str">
        <x:f>IF(OR(AA28="",AB28=""),"",AB28-AA28)</x:f>
      </x:c>
      <x:c r="AD28" s="41"/>
      <x:c r="AE28" s="41"/>
      <x:c r="AF28" s="42" t="str">
        <x:f>IF(OR(AD28="",AE28=""),"",AE28-AD28)</x:f>
      </x:c>
      <x:c r="AG28" s="43"/>
      <x:c r="AH28" s="43"/>
      <x:c r="AI28" s="44" t="str">
        <x:f>IF(OR(AG28="",AH28=""),"",AH28-AG28)</x:f>
      </x:c>
      <x:c r="AJ28" s="41"/>
      <x:c r="AK28" s="41"/>
      <x:c r="AL28" s="42" t="str">
        <x:f>IF(OR(AJ28="",AK28=""),"",AK28-AJ28)</x:f>
      </x:c>
      <x:c r="AM28" s="41"/>
      <x:c r="AN28" s="41"/>
      <x:c r="AO28" s="42" t="str">
        <x:f>IF(OR(AM28="",AN28=""),"",AN28-AM28)</x:f>
      </x:c>
      <x:c r="AP28" s="41"/>
      <x:c r="AQ28" s="41"/>
      <x:c r="AR28" s="42" t="str">
        <x:f>IF(OR(AP28="",AQ28=""),"",AQ28-AP28)</x:f>
      </x:c>
      <x:c r="AS28" s="41"/>
      <x:c r="AT28" s="41"/>
      <x:c r="AU28" s="42" t="str">
        <x:f>IF(OR(AS28="",AT28=""),"",AT28-AS28)</x:f>
      </x:c>
    </x:row>
    <x:row r="29">
      <x:c r="A29" s="40" t="n">
        <x:v>22</x:v>
      </x:c>
      <x:c r="B29" s="40" t="n">
        <x:v>20260944</x:v>
      </x:c>
      <x:c r="C29" s="41"/>
      <x:c r="D29" s="41"/>
      <x:c r="E29" s="42" t="str">
        <x:f>IF(OR(C29="",D29=""),"",D29-C29)</x:f>
      </x:c>
      <x:c r="F29" s="41"/>
      <x:c r="G29" s="41"/>
      <x:c r="H29" s="42" t="str">
        <x:f>IF(OR(F29="",G29=""),"",G29-F29)</x:f>
      </x:c>
      <x:c r="I29" s="41"/>
      <x:c r="J29" s="41"/>
      <x:c r="K29" s="42" t="str">
        <x:f>IF(OR(I29="",J29=""),"",J29-I29)</x:f>
      </x:c>
      <x:c r="L29" s="41"/>
      <x:c r="M29" s="41"/>
      <x:c r="N29" s="42" t="str">
        <x:f>IF(OR(L29="",M29=""),"",M29-L29)</x:f>
      </x:c>
      <x:c r="O29" s="41"/>
      <x:c r="P29" s="41"/>
      <x:c r="Q29" s="42" t="str">
        <x:f>IF(OR(O29="",P29=""),"",P29-O29)</x:f>
      </x:c>
      <x:c r="R29" s="41"/>
      <x:c r="S29" s="41"/>
      <x:c r="T29" s="42" t="str">
        <x:f>IF(OR(R29="",S29=""),"",S29-R29)</x:f>
      </x:c>
      <x:c r="U29" s="43"/>
      <x:c r="V29" s="43"/>
      <x:c r="W29" s="44" t="str">
        <x:f>IF(OR(U29="",V29=""),"",V29-U29)</x:f>
      </x:c>
      <x:c r="X29" s="41"/>
      <x:c r="Y29" s="41"/>
      <x:c r="Z29" s="42" t="str">
        <x:f>IF(OR(X29="",Y29=""),"",Y29-X29)</x:f>
      </x:c>
      <x:c r="AA29" s="41"/>
      <x:c r="AB29" s="41"/>
      <x:c r="AC29" s="42" t="str">
        <x:f>IF(OR(AA29="",AB29=""),"",AB29-AA29)</x:f>
      </x:c>
      <x:c r="AD29" s="41"/>
      <x:c r="AE29" s="41"/>
      <x:c r="AF29" s="42" t="str">
        <x:f>IF(OR(AD29="",AE29=""),"",AE29-AD29)</x:f>
      </x:c>
      <x:c r="AG29" s="43"/>
      <x:c r="AH29" s="43"/>
      <x:c r="AI29" s="44" t="str">
        <x:f>IF(OR(AG29="",AH29=""),"",AH29-AG29)</x:f>
      </x:c>
      <x:c r="AJ29" s="41"/>
      <x:c r="AK29" s="41"/>
      <x:c r="AL29" s="42" t="str">
        <x:f>IF(OR(AJ29="",AK29=""),"",AK29-AJ29)</x:f>
      </x:c>
      <x:c r="AM29" s="41"/>
      <x:c r="AN29" s="41"/>
      <x:c r="AO29" s="42" t="str">
        <x:f>IF(OR(AM29="",AN29=""),"",AN29-AM29)</x:f>
      </x:c>
      <x:c r="AP29" s="41"/>
      <x:c r="AQ29" s="41"/>
      <x:c r="AR29" s="42" t="str">
        <x:f>IF(OR(AP29="",AQ29=""),"",AQ29-AP29)</x:f>
      </x:c>
      <x:c r="AS29" s="41"/>
      <x:c r="AT29" s="41"/>
      <x:c r="AU29" s="42" t="str">
        <x:f>IF(OR(AS29="",AT29=""),"",AT29-AS29)</x:f>
      </x:c>
    </x:row>
    <x:row r="30">
      <x:c r="A30" s="40" t="n">
        <x:v>23</x:v>
      </x:c>
      <x:c r="B30" s="40" t="n">
        <x:v>20260945</x:v>
      </x:c>
      <x:c r="C30" s="41"/>
      <x:c r="D30" s="41"/>
      <x:c r="E30" s="42" t="str">
        <x:f>IF(OR(C30="",D30=""),"",D30-C30)</x:f>
      </x:c>
      <x:c r="F30" s="41"/>
      <x:c r="G30" s="41"/>
      <x:c r="H30" s="42" t="str">
        <x:f>IF(OR(F30="",G30=""),"",G30-F30)</x:f>
      </x:c>
      <x:c r="I30" s="41"/>
      <x:c r="J30" s="41"/>
      <x:c r="K30" s="42" t="str">
        <x:f>IF(OR(I30="",J30=""),"",J30-I30)</x:f>
      </x:c>
      <x:c r="L30" s="41"/>
      <x:c r="M30" s="41"/>
      <x:c r="N30" s="42" t="str">
        <x:f>IF(OR(L30="",M30=""),"",M30-L30)</x:f>
      </x:c>
      <x:c r="O30" s="41"/>
      <x:c r="P30" s="41"/>
      <x:c r="Q30" s="42" t="str">
        <x:f>IF(OR(O30="",P30=""),"",P30-O30)</x:f>
      </x:c>
      <x:c r="R30" s="41"/>
      <x:c r="S30" s="41"/>
      <x:c r="T30" s="42" t="str">
        <x:f>IF(OR(R30="",S30=""),"",S30-R30)</x:f>
      </x:c>
      <x:c r="U30" s="43"/>
      <x:c r="V30" s="43"/>
      <x:c r="W30" s="44" t="str">
        <x:f>IF(OR(U30="",V30=""),"",V30-U30)</x:f>
      </x:c>
      <x:c r="X30" s="41"/>
      <x:c r="Y30" s="41"/>
      <x:c r="Z30" s="42" t="str">
        <x:f>IF(OR(X30="",Y30=""),"",Y30-X30)</x:f>
      </x:c>
      <x:c r="AA30" s="41"/>
      <x:c r="AB30" s="41"/>
      <x:c r="AC30" s="42" t="str">
        <x:f>IF(OR(AA30="",AB30=""),"",AB30-AA30)</x:f>
      </x:c>
      <x:c r="AD30" s="41"/>
      <x:c r="AE30" s="41"/>
      <x:c r="AF30" s="42" t="str">
        <x:f>IF(OR(AD30="",AE30=""),"",AE30-AD30)</x:f>
      </x:c>
      <x:c r="AG30" s="43"/>
      <x:c r="AH30" s="43"/>
      <x:c r="AI30" s="44" t="str">
        <x:f>IF(OR(AG30="",AH30=""),"",AH30-AG30)</x:f>
      </x:c>
      <x:c r="AJ30" s="41"/>
      <x:c r="AK30" s="41"/>
      <x:c r="AL30" s="42" t="str">
        <x:f>IF(OR(AJ30="",AK30=""),"",AK30-AJ30)</x:f>
      </x:c>
      <x:c r="AM30" s="41"/>
      <x:c r="AN30" s="41"/>
      <x:c r="AO30" s="42" t="str">
        <x:f>IF(OR(AM30="",AN30=""),"",AN30-AM30)</x:f>
      </x:c>
      <x:c r="AP30" s="41"/>
      <x:c r="AQ30" s="41"/>
      <x:c r="AR30" s="42" t="str">
        <x:f>IF(OR(AP30="",AQ30=""),"",AQ30-AP30)</x:f>
      </x:c>
      <x:c r="AS30" s="41"/>
      <x:c r="AT30" s="41"/>
      <x:c r="AU30" s="42" t="str">
        <x:f>IF(OR(AS30="",AT30=""),"",AT30-AS30)</x:f>
      </x:c>
    </x:row>
    <x:row r="31">
      <x:c r="A31" s="40" t="n">
        <x:v>24</x:v>
      </x:c>
      <x:c r="B31" s="40" t="n">
        <x:v>20260946</x:v>
      </x:c>
      <x:c r="C31" s="41"/>
      <x:c r="D31" s="41"/>
      <x:c r="E31" s="42" t="str">
        <x:f>IF(OR(C31="",D31=""),"",D31-C31)</x:f>
      </x:c>
      <x:c r="F31" s="41"/>
      <x:c r="G31" s="41"/>
      <x:c r="H31" s="42" t="str">
        <x:f>IF(OR(F31="",G31=""),"",G31-F31)</x:f>
      </x:c>
      <x:c r="I31" s="41"/>
      <x:c r="J31" s="41"/>
      <x:c r="K31" s="42" t="str">
        <x:f>IF(OR(I31="",J31=""),"",J31-I31)</x:f>
      </x:c>
      <x:c r="L31" s="41"/>
      <x:c r="M31" s="41"/>
      <x:c r="N31" s="42" t="str">
        <x:f>IF(OR(L31="",M31=""),"",M31-L31)</x:f>
      </x:c>
      <x:c r="O31" s="41"/>
      <x:c r="P31" s="41"/>
      <x:c r="Q31" s="42" t="str">
        <x:f>IF(OR(O31="",P31=""),"",P31-O31)</x:f>
      </x:c>
      <x:c r="R31" s="41"/>
      <x:c r="S31" s="41"/>
      <x:c r="T31" s="42" t="str">
        <x:f>IF(OR(R31="",S31=""),"",S31-R31)</x:f>
      </x:c>
      <x:c r="U31" s="43"/>
      <x:c r="V31" s="43"/>
      <x:c r="W31" s="44" t="str">
        <x:f>IF(OR(U31="",V31=""),"",V31-U31)</x:f>
      </x:c>
      <x:c r="X31" s="41"/>
      <x:c r="Y31" s="41"/>
      <x:c r="Z31" s="42" t="str">
        <x:f>IF(OR(X31="",Y31=""),"",Y31-X31)</x:f>
      </x:c>
      <x:c r="AA31" s="41"/>
      <x:c r="AB31" s="41"/>
      <x:c r="AC31" s="42" t="str">
        <x:f>IF(OR(AA31="",AB31=""),"",AB31-AA31)</x:f>
      </x:c>
      <x:c r="AD31" s="41"/>
      <x:c r="AE31" s="41"/>
      <x:c r="AF31" s="42" t="str">
        <x:f>IF(OR(AD31="",AE31=""),"",AE31-AD31)</x:f>
      </x:c>
      <x:c r="AG31" s="43"/>
      <x:c r="AH31" s="43"/>
      <x:c r="AI31" s="44" t="str">
        <x:f>IF(OR(AG31="",AH31=""),"",AH31-AG31)</x:f>
      </x:c>
      <x:c r="AJ31" s="41"/>
      <x:c r="AK31" s="41"/>
      <x:c r="AL31" s="42" t="str">
        <x:f>IF(OR(AJ31="",AK31=""),"",AK31-AJ31)</x:f>
      </x:c>
      <x:c r="AM31" s="41"/>
      <x:c r="AN31" s="41"/>
      <x:c r="AO31" s="42" t="str">
        <x:f>IF(OR(AM31="",AN31=""),"",AN31-AM31)</x:f>
      </x:c>
      <x:c r="AP31" s="41"/>
      <x:c r="AQ31" s="41"/>
      <x:c r="AR31" s="42" t="str">
        <x:f>IF(OR(AP31="",AQ31=""),"",AQ31-AP31)</x:f>
      </x:c>
      <x:c r="AS31" s="41"/>
      <x:c r="AT31" s="41"/>
      <x:c r="AU31" s="42" t="str">
        <x:f>IF(OR(AS31="",AT31=""),"",AT31-AS31)</x:f>
      </x:c>
    </x:row>
    <x:row r="32">
      <x:c r="A32" s="40" t="n">
        <x:v>25</x:v>
      </x:c>
      <x:c r="B32" s="40" t="n">
        <x:v>20260947</x:v>
      </x:c>
      <x:c r="C32" s="41"/>
      <x:c r="D32" s="41"/>
      <x:c r="E32" s="42" t="str">
        <x:f>IF(OR(C32="",D32=""),"",D32-C32)</x:f>
      </x:c>
      <x:c r="F32" s="41"/>
      <x:c r="G32" s="41"/>
      <x:c r="H32" s="42" t="str">
        <x:f>IF(OR(F32="",G32=""),"",G32-F32)</x:f>
      </x:c>
      <x:c r="I32" s="41"/>
      <x:c r="J32" s="41"/>
      <x:c r="K32" s="42" t="str">
        <x:f>IF(OR(I32="",J32=""),"",J32-I32)</x:f>
      </x:c>
      <x:c r="L32" s="41"/>
      <x:c r="M32" s="41"/>
      <x:c r="N32" s="42" t="str">
        <x:f>IF(OR(L32="",M32=""),"",M32-L32)</x:f>
      </x:c>
      <x:c r="O32" s="41"/>
      <x:c r="P32" s="41"/>
      <x:c r="Q32" s="42" t="str">
        <x:f>IF(OR(O32="",P32=""),"",P32-O32)</x:f>
      </x:c>
      <x:c r="R32" s="41"/>
      <x:c r="S32" s="41"/>
      <x:c r="T32" s="42" t="str">
        <x:f>IF(OR(R32="",S32=""),"",S32-R32)</x:f>
      </x:c>
      <x:c r="U32" s="43"/>
      <x:c r="V32" s="43"/>
      <x:c r="W32" s="44" t="str">
        <x:f>IF(OR(U32="",V32=""),"",V32-U32)</x:f>
      </x:c>
      <x:c r="X32" s="41"/>
      <x:c r="Y32" s="41"/>
      <x:c r="Z32" s="42" t="str">
        <x:f>IF(OR(X32="",Y32=""),"",Y32-X32)</x:f>
      </x:c>
      <x:c r="AA32" s="41"/>
      <x:c r="AB32" s="41"/>
      <x:c r="AC32" s="42" t="str">
        <x:f>IF(OR(AA32="",AB32=""),"",AB32-AA32)</x:f>
      </x:c>
      <x:c r="AD32" s="41"/>
      <x:c r="AE32" s="41"/>
      <x:c r="AF32" s="42" t="str">
        <x:f>IF(OR(AD32="",AE32=""),"",AE32-AD32)</x:f>
      </x:c>
      <x:c r="AG32" s="43"/>
      <x:c r="AH32" s="43"/>
      <x:c r="AI32" s="44" t="str">
        <x:f>IF(OR(AG32="",AH32=""),"",AH32-AG32)</x:f>
      </x:c>
      <x:c r="AJ32" s="41"/>
      <x:c r="AK32" s="41"/>
      <x:c r="AL32" s="42" t="str">
        <x:f>IF(OR(AJ32="",AK32=""),"",AK32-AJ32)</x:f>
      </x:c>
      <x:c r="AM32" s="41"/>
      <x:c r="AN32" s="41"/>
      <x:c r="AO32" s="42" t="str">
        <x:f>IF(OR(AM32="",AN32=""),"",AN32-AM32)</x:f>
      </x:c>
      <x:c r="AP32" s="41"/>
      <x:c r="AQ32" s="41"/>
      <x:c r="AR32" s="42" t="str">
        <x:f>IF(OR(AP32="",AQ32=""),"",AQ32-AP32)</x:f>
      </x:c>
      <x:c r="AS32" s="41"/>
      <x:c r="AT32" s="41"/>
      <x:c r="AU32" s="42" t="str">
        <x:f>IF(OR(AS32="",AT32=""),"",AT32-AS32)</x:f>
      </x:c>
    </x:row>
    <x:row r="33">
      <x:c r="A33" s="40" t="n">
        <x:v>26</x:v>
      </x:c>
      <x:c r="B33" s="40" t="n">
        <x:v>20260948</x:v>
      </x:c>
      <x:c r="C33" s="41"/>
      <x:c r="D33" s="41"/>
      <x:c r="E33" s="42" t="str">
        <x:f>IF(OR(C33="",D33=""),"",D33-C33)</x:f>
      </x:c>
      <x:c r="F33" s="41"/>
      <x:c r="G33" s="41"/>
      <x:c r="H33" s="42" t="str">
        <x:f>IF(OR(F33="",G33=""),"",G33-F33)</x:f>
      </x:c>
      <x:c r="I33" s="41"/>
      <x:c r="J33" s="41"/>
      <x:c r="K33" s="42" t="str">
        <x:f>IF(OR(I33="",J33=""),"",J33-I33)</x:f>
      </x:c>
      <x:c r="L33" s="41"/>
      <x:c r="M33" s="41"/>
      <x:c r="N33" s="42" t="str">
        <x:f>IF(OR(L33="",M33=""),"",M33-L33)</x:f>
      </x:c>
      <x:c r="O33" s="41"/>
      <x:c r="P33" s="41"/>
      <x:c r="Q33" s="42" t="str">
        <x:f>IF(OR(O33="",P33=""),"",P33-O33)</x:f>
      </x:c>
      <x:c r="R33" s="41"/>
      <x:c r="S33" s="41"/>
      <x:c r="T33" s="42" t="str">
        <x:f>IF(OR(R33="",S33=""),"",S33-R33)</x:f>
      </x:c>
      <x:c r="U33" s="43"/>
      <x:c r="V33" s="43"/>
      <x:c r="W33" s="44" t="str">
        <x:f>IF(OR(U33="",V33=""),"",V33-U33)</x:f>
      </x:c>
      <x:c r="X33" s="41"/>
      <x:c r="Y33" s="41"/>
      <x:c r="Z33" s="42" t="str">
        <x:f>IF(OR(X33="",Y33=""),"",Y33-X33)</x:f>
      </x:c>
      <x:c r="AA33" s="41"/>
      <x:c r="AB33" s="41"/>
      <x:c r="AC33" s="42" t="str">
        <x:f>IF(OR(AA33="",AB33=""),"",AB33-AA33)</x:f>
      </x:c>
      <x:c r="AD33" s="41"/>
      <x:c r="AE33" s="41"/>
      <x:c r="AF33" s="42" t="str">
        <x:f>IF(OR(AD33="",AE33=""),"",AE33-AD33)</x:f>
      </x:c>
      <x:c r="AG33" s="43"/>
      <x:c r="AH33" s="43"/>
      <x:c r="AI33" s="44" t="str">
        <x:f>IF(OR(AG33="",AH33=""),"",AH33-AG33)</x:f>
      </x:c>
      <x:c r="AJ33" s="41"/>
      <x:c r="AK33" s="41"/>
      <x:c r="AL33" s="42" t="str">
        <x:f>IF(OR(AJ33="",AK33=""),"",AK33-AJ33)</x:f>
      </x:c>
      <x:c r="AM33" s="41"/>
      <x:c r="AN33" s="41"/>
      <x:c r="AO33" s="42" t="str">
        <x:f>IF(OR(AM33="",AN33=""),"",AN33-AM33)</x:f>
      </x:c>
      <x:c r="AP33" s="41"/>
      <x:c r="AQ33" s="41"/>
      <x:c r="AR33" s="42" t="str">
        <x:f>IF(OR(AP33="",AQ33=""),"",AQ33-AP33)</x:f>
      </x:c>
      <x:c r="AS33" s="41"/>
      <x:c r="AT33" s="41"/>
      <x:c r="AU33" s="42" t="str">
        <x:f>IF(OR(AS33="",AT33=""),"",AT33-AS33)</x:f>
      </x:c>
    </x:row>
    <x:row r="34">
      <x:c r="A34" s="40" t="n">
        <x:v>27</x:v>
      </x:c>
      <x:c r="B34" s="40" t="n">
        <x:v>20260949</x:v>
      </x:c>
      <x:c r="C34" s="41"/>
      <x:c r="D34" s="41"/>
      <x:c r="E34" s="42" t="str">
        <x:f>IF(OR(C34="",D34=""),"",D34-C34)</x:f>
      </x:c>
      <x:c r="F34" s="41"/>
      <x:c r="G34" s="41"/>
      <x:c r="H34" s="42" t="str">
        <x:f>IF(OR(F34="",G34=""),"",G34-F34)</x:f>
      </x:c>
      <x:c r="I34" s="41"/>
      <x:c r="J34" s="41"/>
      <x:c r="K34" s="42" t="str">
        <x:f>IF(OR(I34="",J34=""),"",J34-I34)</x:f>
      </x:c>
      <x:c r="L34" s="41"/>
      <x:c r="M34" s="41"/>
      <x:c r="N34" s="42" t="str">
        <x:f>IF(OR(L34="",M34=""),"",M34-L34)</x:f>
      </x:c>
      <x:c r="O34" s="41"/>
      <x:c r="P34" s="41"/>
      <x:c r="Q34" s="42" t="str">
        <x:f>IF(OR(O34="",P34=""),"",P34-O34)</x:f>
      </x:c>
      <x:c r="R34" s="41"/>
      <x:c r="S34" s="41"/>
      <x:c r="T34" s="42" t="str">
        <x:f>IF(OR(R34="",S34=""),"",S34-R34)</x:f>
      </x:c>
      <x:c r="U34" s="43"/>
      <x:c r="V34" s="43"/>
      <x:c r="W34" s="44" t="str">
        <x:f>IF(OR(U34="",V34=""),"",V34-U34)</x:f>
      </x:c>
      <x:c r="X34" s="41"/>
      <x:c r="Y34" s="41"/>
      <x:c r="Z34" s="42" t="str">
        <x:f>IF(OR(X34="",Y34=""),"",Y34-X34)</x:f>
      </x:c>
      <x:c r="AA34" s="41"/>
      <x:c r="AB34" s="41"/>
      <x:c r="AC34" s="42" t="str">
        <x:f>IF(OR(AA34="",AB34=""),"",AB34-AA34)</x:f>
      </x:c>
      <x:c r="AD34" s="41"/>
      <x:c r="AE34" s="41"/>
      <x:c r="AF34" s="42" t="str">
        <x:f>IF(OR(AD34="",AE34=""),"",AE34-AD34)</x:f>
      </x:c>
      <x:c r="AG34" s="43"/>
      <x:c r="AH34" s="43"/>
      <x:c r="AI34" s="44" t="str">
        <x:f>IF(OR(AG34="",AH34=""),"",AH34-AG34)</x:f>
      </x:c>
      <x:c r="AJ34" s="41"/>
      <x:c r="AK34" s="41"/>
      <x:c r="AL34" s="42" t="str">
        <x:f>IF(OR(AJ34="",AK34=""),"",AK34-AJ34)</x:f>
      </x:c>
      <x:c r="AM34" s="41"/>
      <x:c r="AN34" s="41"/>
      <x:c r="AO34" s="42" t="str">
        <x:f>IF(OR(AM34="",AN34=""),"",AN34-AM34)</x:f>
      </x:c>
      <x:c r="AP34" s="41"/>
      <x:c r="AQ34" s="41"/>
      <x:c r="AR34" s="42" t="str">
        <x:f>IF(OR(AP34="",AQ34=""),"",AQ34-AP34)</x:f>
      </x:c>
      <x:c r="AS34" s="41"/>
      <x:c r="AT34" s="41"/>
      <x:c r="AU34" s="42" t="str">
        <x:f>IF(OR(AS34="",AT34=""),"",AT34-AS34)</x:f>
      </x:c>
    </x:row>
    <x:row r="35">
      <x:c r="A35" s="40" t="n">
        <x:v>28</x:v>
      </x:c>
      <x:c r="B35" s="40" t="n">
        <x:v>20260950</x:v>
      </x:c>
      <x:c r="C35" s="41"/>
      <x:c r="D35" s="41"/>
      <x:c r="E35" s="42" t="str">
        <x:f>IF(OR(C35="",D35=""),"",D35-C35)</x:f>
      </x:c>
      <x:c r="F35" s="41"/>
      <x:c r="G35" s="41"/>
      <x:c r="H35" s="42" t="str">
        <x:f>IF(OR(F35="",G35=""),"",G35-F35)</x:f>
      </x:c>
      <x:c r="I35" s="41"/>
      <x:c r="J35" s="41"/>
      <x:c r="K35" s="42" t="str">
        <x:f>IF(OR(I35="",J35=""),"",J35-I35)</x:f>
      </x:c>
      <x:c r="L35" s="41"/>
      <x:c r="M35" s="41"/>
      <x:c r="N35" s="42" t="str">
        <x:f>IF(OR(L35="",M35=""),"",M35-L35)</x:f>
      </x:c>
      <x:c r="O35" s="41"/>
      <x:c r="P35" s="41"/>
      <x:c r="Q35" s="42" t="str">
        <x:f>IF(OR(O35="",P35=""),"",P35-O35)</x:f>
      </x:c>
      <x:c r="R35" s="41"/>
      <x:c r="S35" s="41"/>
      <x:c r="T35" s="42" t="str">
        <x:f>IF(OR(R35="",S35=""),"",S35-R35)</x:f>
      </x:c>
      <x:c r="U35" s="43"/>
      <x:c r="V35" s="43"/>
      <x:c r="W35" s="44" t="str">
        <x:f>IF(OR(U35="",V35=""),"",V35-U35)</x:f>
      </x:c>
      <x:c r="X35" s="41"/>
      <x:c r="Y35" s="41"/>
      <x:c r="Z35" s="42" t="str">
        <x:f>IF(OR(X35="",Y35=""),"",Y35-X35)</x:f>
      </x:c>
      <x:c r="AA35" s="41"/>
      <x:c r="AB35" s="41"/>
      <x:c r="AC35" s="42" t="str">
        <x:f>IF(OR(AA35="",AB35=""),"",AB35-AA35)</x:f>
      </x:c>
      <x:c r="AD35" s="41"/>
      <x:c r="AE35" s="41"/>
      <x:c r="AF35" s="42" t="str">
        <x:f>IF(OR(AD35="",AE35=""),"",AE35-AD35)</x:f>
      </x:c>
      <x:c r="AG35" s="43"/>
      <x:c r="AH35" s="43"/>
      <x:c r="AI35" s="44" t="str">
        <x:f>IF(OR(AG35="",AH35=""),"",AH35-AG35)</x:f>
      </x:c>
      <x:c r="AJ35" s="41"/>
      <x:c r="AK35" s="41"/>
      <x:c r="AL35" s="42" t="str">
        <x:f>IF(OR(AJ35="",AK35=""),"",AK35-AJ35)</x:f>
      </x:c>
      <x:c r="AM35" s="41"/>
      <x:c r="AN35" s="41"/>
      <x:c r="AO35" s="42" t="str">
        <x:f>IF(OR(AM35="",AN35=""),"",AN35-AM35)</x:f>
      </x:c>
      <x:c r="AP35" s="41"/>
      <x:c r="AQ35" s="41"/>
      <x:c r="AR35" s="42" t="str">
        <x:f>IF(OR(AP35="",AQ35=""),"",AQ35-AP35)</x:f>
      </x:c>
      <x:c r="AS35" s="41"/>
      <x:c r="AT35" s="41"/>
      <x:c r="AU35" s="42" t="str">
        <x:f>IF(OR(AS35="",AT35=""),"",AT35-AS35)</x:f>
      </x:c>
    </x:row>
    <x:row r="36">
      <x:c r="A36" s="40" t="n">
        <x:v>29</x:v>
      </x:c>
      <x:c r="B36" s="40" t="n">
        <x:v>20260951</x:v>
      </x:c>
      <x:c r="C36" s="41"/>
      <x:c r="D36" s="41"/>
      <x:c r="E36" s="42" t="str">
        <x:f>IF(OR(C36="",D36=""),"",D36-C36)</x:f>
      </x:c>
      <x:c r="F36" s="41"/>
      <x:c r="G36" s="41"/>
      <x:c r="H36" s="42" t="str">
        <x:f>IF(OR(F36="",G36=""),"",G36-F36)</x:f>
      </x:c>
      <x:c r="I36" s="41"/>
      <x:c r="J36" s="41"/>
      <x:c r="K36" s="42" t="str">
        <x:f>IF(OR(I36="",J36=""),"",J36-I36)</x:f>
      </x:c>
      <x:c r="L36" s="41"/>
      <x:c r="M36" s="41"/>
      <x:c r="N36" s="42" t="str">
        <x:f>IF(OR(L36="",M36=""),"",M36-L36)</x:f>
      </x:c>
      <x:c r="O36" s="41"/>
      <x:c r="P36" s="41"/>
      <x:c r="Q36" s="42" t="str">
        <x:f>IF(OR(O36="",P36=""),"",P36-O36)</x:f>
      </x:c>
      <x:c r="R36" s="41"/>
      <x:c r="S36" s="41"/>
      <x:c r="T36" s="42" t="str">
        <x:f>IF(OR(R36="",S36=""),"",S36-R36)</x:f>
      </x:c>
      <x:c r="U36" s="43"/>
      <x:c r="V36" s="43"/>
      <x:c r="W36" s="44" t="str">
        <x:f>IF(OR(U36="",V36=""),"",V36-U36)</x:f>
      </x:c>
      <x:c r="X36" s="41"/>
      <x:c r="Y36" s="41"/>
      <x:c r="Z36" s="42" t="str">
        <x:f>IF(OR(X36="",Y36=""),"",Y36-X36)</x:f>
      </x:c>
      <x:c r="AA36" s="41"/>
      <x:c r="AB36" s="41"/>
      <x:c r="AC36" s="42" t="str">
        <x:f>IF(OR(AA36="",AB36=""),"",AB36-AA36)</x:f>
      </x:c>
      <x:c r="AD36" s="41"/>
      <x:c r="AE36" s="41"/>
      <x:c r="AF36" s="42" t="str">
        <x:f>IF(OR(AD36="",AE36=""),"",AE36-AD36)</x:f>
      </x:c>
      <x:c r="AG36" s="43"/>
      <x:c r="AH36" s="43"/>
      <x:c r="AI36" s="44" t="str">
        <x:f>IF(OR(AG36="",AH36=""),"",AH36-AG36)</x:f>
      </x:c>
      <x:c r="AJ36" s="41"/>
      <x:c r="AK36" s="41"/>
      <x:c r="AL36" s="42" t="str">
        <x:f>IF(OR(AJ36="",AK36=""),"",AK36-AJ36)</x:f>
      </x:c>
      <x:c r="AM36" s="41"/>
      <x:c r="AN36" s="41"/>
      <x:c r="AO36" s="42" t="str">
        <x:f>IF(OR(AM36="",AN36=""),"",AN36-AM36)</x:f>
      </x:c>
      <x:c r="AP36" s="41"/>
      <x:c r="AQ36" s="41"/>
      <x:c r="AR36" s="42" t="str">
        <x:f>IF(OR(AP36="",AQ36=""),"",AQ36-AP36)</x:f>
      </x:c>
      <x:c r="AS36" s="41"/>
      <x:c r="AT36" s="41"/>
      <x:c r="AU36" s="42" t="str">
        <x:f>IF(OR(AS36="",AT36=""),"",AT36-AS36)</x:f>
      </x:c>
    </x:row>
    <x:row r="37">
      <x:c r="A37" s="45" t="n">
        <x:v>30</x:v>
      </x:c>
      <x:c r="B37" s="45" t="n">
        <x:v>20260952</x:v>
      </x:c>
      <x:c r="C37" s="46"/>
      <x:c r="D37" s="46"/>
      <x:c r="E37" s="47" t="str">
        <x:f>IF(OR(C37="",D37=""),"",D37-C37)</x:f>
      </x:c>
      <x:c r="F37" s="46"/>
      <x:c r="G37" s="46"/>
      <x:c r="H37" s="47" t="str">
        <x:f>IF(OR(F37="",G37=""),"",G37-F37)</x:f>
      </x:c>
      <x:c r="I37" s="46"/>
      <x:c r="J37" s="46"/>
      <x:c r="K37" s="47" t="str">
        <x:f>IF(OR(I37="",J37=""),"",J37-I37)</x:f>
      </x:c>
      <x:c r="L37" s="46"/>
      <x:c r="M37" s="46"/>
      <x:c r="N37" s="47" t="str">
        <x:f>IF(OR(L37="",M37=""),"",M37-L37)</x:f>
      </x:c>
      <x:c r="O37" s="46"/>
      <x:c r="P37" s="46"/>
      <x:c r="Q37" s="47" t="str">
        <x:f>IF(OR(O37="",P37=""),"",P37-O37)</x:f>
      </x:c>
      <x:c r="R37" s="46"/>
      <x:c r="S37" s="46"/>
      <x:c r="T37" s="47" t="str">
        <x:f>IF(OR(R37="",S37=""),"",S37-R37)</x:f>
      </x:c>
      <x:c r="U37" s="48"/>
      <x:c r="V37" s="48"/>
      <x:c r="W37" s="49" t="str">
        <x:f>IF(OR(U37="",V37=""),"",V37-U37)</x:f>
      </x:c>
      <x:c r="X37" s="46"/>
      <x:c r="Y37" s="46"/>
      <x:c r="Z37" s="47" t="str">
        <x:f>IF(OR(X37="",Y37=""),"",Y37-X37)</x:f>
      </x:c>
      <x:c r="AA37" s="46"/>
      <x:c r="AB37" s="46"/>
      <x:c r="AC37" s="47" t="str">
        <x:f>IF(OR(AA37="",AB37=""),"",AB37-AA37)</x:f>
      </x:c>
      <x:c r="AD37" s="46"/>
      <x:c r="AE37" s="46"/>
      <x:c r="AF37" s="47" t="str">
        <x:f>IF(OR(AD37="",AE37=""),"",AE37-AD37)</x:f>
      </x:c>
      <x:c r="AG37" s="48"/>
      <x:c r="AH37" s="48"/>
      <x:c r="AI37" s="49" t="str">
        <x:f>IF(OR(AG37="",AH37=""),"",AH37-AG37)</x:f>
      </x:c>
      <x:c r="AJ37" s="46"/>
      <x:c r="AK37" s="46"/>
      <x:c r="AL37" s="47" t="str">
        <x:f>IF(OR(AJ37="",AK37=""),"",AK37-AJ37)</x:f>
      </x:c>
      <x:c r="AM37" s="46"/>
      <x:c r="AN37" s="46"/>
      <x:c r="AO37" s="47" t="str">
        <x:f>IF(OR(AM37="",AN37=""),"",AN37-AM37)</x:f>
      </x:c>
      <x:c r="AP37" s="46"/>
      <x:c r="AQ37" s="46"/>
      <x:c r="AR37" s="47" t="str">
        <x:f>IF(OR(AP37="",AQ37=""),"",AQ37-AP37)</x:f>
      </x:c>
      <x:c r="AS37" s="46"/>
      <x:c r="AT37" s="46"/>
      <x:c r="AU37" s="47" t="str">
        <x:f>IF(OR(AS37="",AT37=""),"",AT37-AS37)</x:f>
      </x:c>
    </x:row>
  </x:sheetData>
  <x:dataValidations count="2">
    <x:dataValidation type="whole" operator="between" sqref="A8:A37">
      <x:formula1>1</x:formula1>
      <x:formula2>999</x:formula2>
    </x:dataValidation>
    <x:dataValidation type="whole" operator="between" sqref="B8:B37">
      <x:formula1>1</x:formula1>
      <x:formula2>2147483647</x:formula2>
    </x:dataValidation>
  </x:dataValidations>
  <x:pageMargins left="0.7" right="0.7" top="0.75" bottom="0.75" header="0.3" footer="0.3"/>
</x:worksheet>
</file>